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aktiskie dati" sheetId="1" r:id="rId5"/>
    <sheet state="visible" name="Teorētiskie dati" sheetId="2" r:id="rId6"/>
  </sheets>
  <definedNames/>
  <calcPr/>
</workbook>
</file>

<file path=xl/sharedStrings.xml><?xml version="1.0" encoding="utf-8"?>
<sst xmlns="http://schemas.openxmlformats.org/spreadsheetml/2006/main" count="258" uniqueCount="87">
  <si>
    <t>19.05-20.05</t>
  </si>
  <si>
    <t>20.05-21.05</t>
  </si>
  <si>
    <t>21.05-22.05</t>
  </si>
  <si>
    <t>22.05-23.05</t>
  </si>
  <si>
    <t>Plankuma Nr.</t>
  </si>
  <si>
    <t>Mērījums 1</t>
  </si>
  <si>
    <t>Mērījums 2</t>
  </si>
  <si>
    <t>Mērījums 3</t>
  </si>
  <si>
    <t>Mērījums 4</t>
  </si>
  <si>
    <t>Mērījums 5</t>
  </si>
  <si>
    <t>Mērījums AVG</t>
  </si>
  <si>
    <t>Platuma int-vāls</t>
  </si>
  <si>
    <t>AR3685</t>
  </si>
  <si>
    <t>10-20S</t>
  </si>
  <si>
    <t>AR3686</t>
  </si>
  <si>
    <t>0-10S</t>
  </si>
  <si>
    <t>23.05-24.05</t>
  </si>
  <si>
    <t>28.05-29.05</t>
  </si>
  <si>
    <t>29.05-30.05</t>
  </si>
  <si>
    <t>30.05-31.05</t>
  </si>
  <si>
    <t>AR3690</t>
  </si>
  <si>
    <t>10-20N</t>
  </si>
  <si>
    <t>AR3691</t>
  </si>
  <si>
    <t>20-30N</t>
  </si>
  <si>
    <t>AR3693</t>
  </si>
  <si>
    <t>0-10N</t>
  </si>
  <si>
    <t>02.06-03.06</t>
  </si>
  <si>
    <t>04.06-05.06</t>
  </si>
  <si>
    <t>07.06-08.06</t>
  </si>
  <si>
    <t>08.06-09.06</t>
  </si>
  <si>
    <t>AR3698</t>
  </si>
  <si>
    <t>AR3703</t>
  </si>
  <si>
    <t>AR3702</t>
  </si>
  <si>
    <t>AR3697</t>
  </si>
  <si>
    <t>AR3704</t>
  </si>
  <si>
    <t>11.06-12.06</t>
  </si>
  <si>
    <t>12.06-13.06</t>
  </si>
  <si>
    <t>16.06-17.06</t>
  </si>
  <si>
    <t>AR3707</t>
  </si>
  <si>
    <t>AR3708</t>
  </si>
  <si>
    <t>20-30S</t>
  </si>
  <si>
    <t>AR3712</t>
  </si>
  <si>
    <t>AR3709</t>
  </si>
  <si>
    <t>AR3716</t>
  </si>
  <si>
    <t>AR3711</t>
  </si>
  <si>
    <t>Sideriskais (aproks.)</t>
  </si>
  <si>
    <t>Platums</t>
  </si>
  <si>
    <t>Sinodiskais</t>
  </si>
  <si>
    <t>Vidējais, dienas</t>
  </si>
  <si>
    <t>AR3702 Platums = 17N</t>
  </si>
  <si>
    <t>Teorētiskais leņķisakais ātrums</t>
  </si>
  <si>
    <t>Datumu int-vāls</t>
  </si>
  <si>
    <t>Laika starpība</t>
  </si>
  <si>
    <t>Teorētiskais periods pēc metodes</t>
  </si>
  <si>
    <t>Teorētiskais īstais periods</t>
  </si>
  <si>
    <t>Teorētiskais sideriskais periods pēc metodes</t>
  </si>
  <si>
    <t>07.06-09.06</t>
  </si>
  <si>
    <t>06.06-10.06</t>
  </si>
  <si>
    <t>05.06-11.06</t>
  </si>
  <si>
    <t>04.06-12.06</t>
  </si>
  <si>
    <t>03.06-13.06</t>
  </si>
  <si>
    <t>Korelācija</t>
  </si>
  <si>
    <t>Sinodiskais periods, dienas</t>
  </si>
  <si>
    <t>b, grādi</t>
  </si>
  <si>
    <t>Sinodiskais periods, grādi</t>
  </si>
  <si>
    <t>Leņķiskais ātrums, grādi/dienā</t>
  </si>
  <si>
    <t>sin^2(b)</t>
  </si>
  <si>
    <t>Teor. leņķ. ātr., gr/d</t>
  </si>
  <si>
    <t>Prakt. leņķ. ātr. gr/d</t>
  </si>
  <si>
    <t>Teorētiskais sid. periods, dienas</t>
  </si>
  <si>
    <t>Praktiskais sid. periods, dienas</t>
  </si>
  <si>
    <t>Korelācija:</t>
  </si>
  <si>
    <t>B, +-</t>
  </si>
  <si>
    <t>A, +-</t>
  </si>
  <si>
    <t>w=14.3-2.19*sin(b)^2</t>
  </si>
  <si>
    <t>w=14.4-2.70*sin(b)^2</t>
  </si>
  <si>
    <t>w, deg/d</t>
  </si>
  <si>
    <t>dt, d</t>
  </si>
  <si>
    <t>Tr, d</t>
  </si>
  <si>
    <t>Tc, d</t>
  </si>
  <si>
    <t>Err, %</t>
  </si>
  <si>
    <t>Kļūda, %</t>
  </si>
  <si>
    <t>Metodes teorētiskais novērtējums: robežgadījumu apskats</t>
  </si>
  <si>
    <t>w, grādi/d</t>
  </si>
  <si>
    <t>dt, dienas</t>
  </si>
  <si>
    <t>Tīstais, dienas</t>
  </si>
  <si>
    <t>Tteor, 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</si>
</sst>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00"/>
    <numFmt numFmtId="165" formatCode="0.0000"/>
    <numFmt numFmtId="166" formatCode="0.0"/>
    <numFmt numFmtId="167" formatCode="#,##0.000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rgb="FF000000"/>
      <name val="Arial"/>
    </font>
    <font>
      <color rgb="FFFFFFFF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B6D7A8"/>
        <bgColor rgb="FFB6D7A8"/>
      </patternFill>
    </fill>
    <fill>
      <patternFill patternType="solid">
        <fgColor rgb="FFFF9900"/>
        <bgColor rgb="FFFF9900"/>
      </patternFill>
    </fill>
    <fill>
      <patternFill patternType="solid">
        <fgColor rgb="FFA4C2F4"/>
        <bgColor rgb="FFA4C2F4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rgb="FF6FA8DC"/>
        <bgColor rgb="FF6FA8DC"/>
      </patternFill>
    </fill>
    <fill>
      <patternFill patternType="solid">
        <fgColor theme="0"/>
        <bgColor theme="0"/>
      </patternFill>
    </fill>
    <fill>
      <patternFill patternType="solid">
        <fgColor rgb="FFEA9999"/>
        <bgColor rgb="FFEA9999"/>
      </patternFill>
    </fill>
    <fill>
      <patternFill patternType="solid">
        <fgColor rgb="FFA2C4C9"/>
        <bgColor rgb="FFA2C4C9"/>
      </patternFill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2" fontId="1" numFmtId="0" xfId="0" applyAlignment="1" applyFont="1">
      <alignment readingOrder="0"/>
    </xf>
    <xf borderId="0" fillId="6" fontId="1" numFmtId="164" xfId="0" applyAlignment="1" applyFont="1" applyNumberFormat="1">
      <alignment readingOrder="0"/>
    </xf>
    <xf borderId="0" fillId="7" fontId="1" numFmtId="164" xfId="0" applyAlignment="1" applyFill="1" applyFont="1" applyNumberFormat="1">
      <alignment readingOrder="0"/>
    </xf>
    <xf borderId="0" fillId="0" fontId="1" numFmtId="0" xfId="0" applyAlignment="1" applyFont="1">
      <alignment horizontal="center" readingOrder="0"/>
    </xf>
    <xf borderId="0" fillId="8" fontId="1" numFmtId="164" xfId="0" applyFill="1" applyFont="1" applyNumberFormat="1"/>
    <xf borderId="0" fillId="9" fontId="1" numFmtId="164" xfId="0" applyFill="1" applyFont="1" applyNumberFormat="1"/>
    <xf borderId="0" fillId="9" fontId="1" numFmtId="0" xfId="0" applyFont="1"/>
    <xf borderId="0" fillId="10" fontId="1" numFmtId="0" xfId="0" applyAlignment="1" applyFill="1" applyFont="1">
      <alignment readingOrder="0"/>
    </xf>
    <xf borderId="0" fillId="11" fontId="1" numFmtId="0" xfId="0" applyAlignment="1" applyFill="1" applyFont="1">
      <alignment readingOrder="0"/>
    </xf>
    <xf borderId="0" fillId="12" fontId="1" numFmtId="164" xfId="0" applyFill="1" applyFont="1" applyNumberFormat="1"/>
    <xf borderId="0" fillId="10" fontId="1" numFmtId="164" xfId="0" applyFont="1" applyNumberFormat="1"/>
    <xf borderId="0" fillId="13" fontId="1" numFmtId="164" xfId="0" applyFill="1" applyFont="1" applyNumberFormat="1"/>
    <xf borderId="0" fillId="0" fontId="1" numFmtId="0" xfId="0" applyFont="1"/>
    <xf borderId="0" fillId="0" fontId="1" numFmtId="165" xfId="0" applyFont="1" applyNumberFormat="1"/>
    <xf borderId="0" fillId="2" fontId="2" numFmtId="0" xfId="0" applyAlignment="1" applyFont="1">
      <alignment readingOrder="0" vertical="bottom"/>
    </xf>
    <xf borderId="0" fillId="2" fontId="3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horizontal="right" vertical="bottom"/>
    </xf>
    <xf borderId="0" fillId="0" fontId="3" numFmtId="164" xfId="0" applyAlignment="1" applyFont="1" applyNumberFormat="1">
      <alignment horizontal="right" vertical="bottom"/>
    </xf>
    <xf borderId="0" fillId="0" fontId="3" numFmtId="165" xfId="0" applyAlignment="1" applyFont="1" applyNumberFormat="1">
      <alignment horizontal="right" vertical="bottom"/>
    </xf>
    <xf borderId="0" fillId="0" fontId="2" numFmtId="2" xfId="0" applyAlignment="1" applyFont="1" applyNumberFormat="1">
      <alignment horizontal="right" vertical="bottom"/>
    </xf>
    <xf borderId="0" fillId="0" fontId="2" numFmtId="0" xfId="0" applyAlignment="1" applyFont="1">
      <alignment readingOrder="0" vertical="bottom"/>
    </xf>
    <xf borderId="0" fillId="0" fontId="4" numFmtId="2" xfId="0" applyAlignment="1" applyFont="1" applyNumberFormat="1">
      <alignment horizontal="right" vertical="bottom"/>
    </xf>
    <xf borderId="0" fillId="14" fontId="2" numFmtId="0" xfId="0" applyAlignment="1" applyFill="1" applyFont="1">
      <alignment vertical="bottom"/>
    </xf>
    <xf borderId="0" fillId="0" fontId="1" numFmtId="166" xfId="0" applyAlignment="1" applyFont="1" applyNumberFormat="1">
      <alignment readingOrder="0"/>
    </xf>
    <xf borderId="0" fillId="0" fontId="1" numFmtId="2" xfId="0" applyFont="1" applyNumberFormat="1"/>
    <xf borderId="0" fillId="9" fontId="1" numFmtId="167" xfId="0" applyAlignment="1" applyFont="1" applyNumberFormat="1">
      <alignment readingOrder="0"/>
    </xf>
    <xf borderId="0" fillId="9" fontId="1" numFmtId="167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Praktiskais mērījums</c:v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'Praktiskie dati'!$H$39:$H$43</c:f>
            </c:strRef>
          </c:cat>
          <c:val>
            <c:numRef>
              <c:f>'Praktiskie dati'!$G$39:$G$43</c:f>
              <c:numCache/>
            </c:numRef>
          </c:val>
          <c:smooth val="0"/>
        </c:ser>
        <c:ser>
          <c:idx val="1"/>
          <c:order val="1"/>
          <c:tx>
            <c:strRef>
              <c:f>'Praktiskie dati'!$I$38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10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dPt>
            <c:idx val="0"/>
            <c:marker>
              <c:symbol val="none"/>
            </c:marker>
          </c:dPt>
          <c:cat>
            <c:strRef>
              <c:f>'Praktiskie dati'!$H$39:$H$43</c:f>
            </c:strRef>
          </c:cat>
          <c:val>
            <c:numRef>
              <c:f>'Praktiskie dati'!$I$39:$I$43</c:f>
              <c:numCache/>
            </c:numRef>
          </c:val>
          <c:smooth val="0"/>
        </c:ser>
        <c:ser>
          <c:idx val="2"/>
          <c:order val="2"/>
          <c:tx>
            <c:v>Teorētiskais periods pēc tabulu datiem</c:v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6AA84F">
                  <a:alpha val="100000"/>
                </a:srgbClr>
              </a:solidFill>
              <a:ln cmpd="sng">
                <a:solidFill>
                  <a:srgbClr val="6AA84F">
                    <a:alpha val="100000"/>
                  </a:srgbClr>
                </a:solidFill>
              </a:ln>
            </c:spPr>
          </c:marker>
          <c:cat>
            <c:strRef>
              <c:f>'Praktiskie dati'!$H$39:$H$43</c:f>
            </c:strRef>
          </c:cat>
          <c:val>
            <c:numRef>
              <c:f>'Praktiskie dati'!$J$39:$J$43</c:f>
              <c:numCache/>
            </c:numRef>
          </c:val>
          <c:smooth val="0"/>
        </c:ser>
        <c:axId val="981015353"/>
        <c:axId val="104671218"/>
      </c:lineChart>
      <c:catAx>
        <c:axId val="9810153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Laika starpība, dienas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671218"/>
      </c:catAx>
      <c:valAx>
        <c:axId val="104671218"/>
        <c:scaling>
          <c:orientation val="minMax"/>
          <c:max val="37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Periods, dienas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101535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strRef>
              <c:f>'Praktiskie dati'!$D$49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93C47D"/>
                </a:solidFill>
              </a:ln>
            </c:spPr>
            <c:trendlineType val="linear"/>
            <c:dispRSqr val="0"/>
            <c:dispEq val="0"/>
          </c:trendline>
          <c:xVal>
            <c:numRef>
              <c:f>'Praktiskie dati'!$E$50:$E$78</c:f>
            </c:numRef>
          </c:xVal>
          <c:yVal>
            <c:numRef>
              <c:f>'Praktiskie dati'!$D$50:$D$78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2652842"/>
        <c:axId val="633652345"/>
      </c:scatterChart>
      <c:valAx>
        <c:axId val="132265284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sin^2(b)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3652345"/>
      </c:valAx>
      <c:valAx>
        <c:axId val="633652345"/>
        <c:scaling>
          <c:orientation val="minMax"/>
          <c:min val="12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w, grādi/dienā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26528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Periods pēc praktiski iegūtajiem datiem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'Praktiskie dati'!$H$50:$H$68</c:f>
            </c:strRef>
          </c:cat>
          <c:val>
            <c:numRef>
              <c:f>'Praktiskie dati'!$K$50:$K$68</c:f>
              <c:numCache/>
            </c:numRef>
          </c:val>
          <c:smooth val="0"/>
        </c:ser>
        <c:ser>
          <c:idx val="1"/>
          <c:order val="1"/>
          <c:tx>
            <c:v>Periods pēc avotu datiem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'Praktiskie dati'!$H$50:$H$68</c:f>
            </c:strRef>
          </c:cat>
          <c:val>
            <c:numRef>
              <c:f>'Praktiskie dati'!$L$50:$L$68</c:f>
              <c:numCache/>
            </c:numRef>
          </c:val>
          <c:smooth val="0"/>
        </c:ser>
        <c:axId val="928579803"/>
        <c:axId val="714403941"/>
      </c:lineChart>
      <c:catAx>
        <c:axId val="9285798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b, grādi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4403941"/>
      </c:catAx>
      <c:valAx>
        <c:axId val="714403941"/>
        <c:scaling>
          <c:orientation val="minMax"/>
          <c:min val="24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T, dienas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857980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'Teorētiskie dati'!$K$1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'Teorētiskie dati'!$G$2:$G$16</c:f>
            </c:strRef>
          </c:cat>
          <c:val>
            <c:numRef>
              <c:f>'Teorētiskie dati'!$K$2:$K$16</c:f>
              <c:numCache/>
            </c:numRef>
          </c:val>
          <c:smooth val="0"/>
        </c:ser>
        <c:axId val="567197672"/>
        <c:axId val="1333873113"/>
      </c:lineChart>
      <c:catAx>
        <c:axId val="5671976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ω, grādi/d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3873113"/>
      </c:catAx>
      <c:valAx>
        <c:axId val="13338731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Kļūda, 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719767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'Teorētiskie dati'!$K$19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'Teorētiskie dati'!$H$20:$H$34</c:f>
            </c:strRef>
          </c:cat>
          <c:val>
            <c:numRef>
              <c:f>'Teorētiskie dati'!$K$20:$K$34</c:f>
              <c:numCache/>
            </c:numRef>
          </c:val>
          <c:smooth val="0"/>
        </c:ser>
        <c:axId val="683507118"/>
        <c:axId val="1727536178"/>
      </c:lineChart>
      <c:catAx>
        <c:axId val="6835071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Δt, dienas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7536178"/>
      </c:catAx>
      <c:valAx>
        <c:axId val="17275361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Kļūda, 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350711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9525</xdr:colOff>
      <xdr:row>29</xdr:row>
      <xdr:rowOff>19050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933450</xdr:colOff>
      <xdr:row>68</xdr:row>
      <xdr:rowOff>190500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12</xdr:col>
      <xdr:colOff>342900</xdr:colOff>
      <xdr:row>48</xdr:row>
      <xdr:rowOff>47625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628650</xdr:colOff>
      <xdr:row>0</xdr:row>
      <xdr:rowOff>19050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628650</xdr:colOff>
      <xdr:row>17</xdr:row>
      <xdr:rowOff>152400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J1" s="1" t="s">
        <v>1</v>
      </c>
      <c r="S1" s="1" t="s">
        <v>2</v>
      </c>
      <c r="AB1" s="1" t="s">
        <v>3</v>
      </c>
    </row>
    <row r="2">
      <c r="A2" s="2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4" t="s">
        <v>10</v>
      </c>
      <c r="H2" s="5" t="s">
        <v>11</v>
      </c>
      <c r="J2" s="2" t="s">
        <v>4</v>
      </c>
      <c r="K2" s="3" t="s">
        <v>5</v>
      </c>
      <c r="L2" s="3" t="s">
        <v>6</v>
      </c>
      <c r="M2" s="3" t="s">
        <v>7</v>
      </c>
      <c r="N2" s="3" t="s">
        <v>8</v>
      </c>
      <c r="O2" s="3" t="s">
        <v>9</v>
      </c>
      <c r="P2" s="4" t="s">
        <v>10</v>
      </c>
      <c r="Q2" s="5" t="s">
        <v>11</v>
      </c>
      <c r="S2" s="2" t="s">
        <v>4</v>
      </c>
      <c r="T2" s="3" t="s">
        <v>5</v>
      </c>
      <c r="U2" s="3" t="s">
        <v>6</v>
      </c>
      <c r="V2" s="3" t="s">
        <v>7</v>
      </c>
      <c r="W2" s="3" t="s">
        <v>8</v>
      </c>
      <c r="X2" s="3" t="s">
        <v>9</v>
      </c>
      <c r="Y2" s="4" t="s">
        <v>10</v>
      </c>
      <c r="Z2" s="5" t="s">
        <v>11</v>
      </c>
      <c r="AB2" s="2" t="s">
        <v>4</v>
      </c>
      <c r="AC2" s="3" t="s">
        <v>5</v>
      </c>
      <c r="AD2" s="3" t="s">
        <v>6</v>
      </c>
      <c r="AE2" s="3" t="s">
        <v>7</v>
      </c>
      <c r="AF2" s="3" t="s">
        <v>8</v>
      </c>
      <c r="AG2" s="3" t="s">
        <v>9</v>
      </c>
      <c r="AH2" s="4" t="s">
        <v>10</v>
      </c>
      <c r="AI2" s="5" t="s">
        <v>11</v>
      </c>
    </row>
    <row r="3">
      <c r="J3" s="6" t="s">
        <v>12</v>
      </c>
      <c r="K3" s="7">
        <v>27.611</v>
      </c>
      <c r="L3" s="7">
        <v>27.569</v>
      </c>
      <c r="M3" s="7">
        <v>28.607</v>
      </c>
      <c r="N3" s="7">
        <v>27.277</v>
      </c>
      <c r="O3" s="7">
        <v>28.245</v>
      </c>
      <c r="P3" s="8">
        <f>AVERAGE(K3:O3)</f>
        <v>27.8618</v>
      </c>
      <c r="Q3" s="6" t="s">
        <v>13</v>
      </c>
      <c r="S3" s="6" t="s">
        <v>12</v>
      </c>
      <c r="T3" s="7">
        <v>27.39</v>
      </c>
      <c r="U3" s="7">
        <v>27.978</v>
      </c>
      <c r="V3" s="7">
        <v>27.407</v>
      </c>
      <c r="W3" s="7">
        <v>27.407</v>
      </c>
      <c r="X3" s="7">
        <v>26.848</v>
      </c>
      <c r="Y3" s="8">
        <f t="shared" ref="Y3:Y4" si="1">AVERAGE(T3:X3)</f>
        <v>27.406</v>
      </c>
      <c r="Z3" s="6" t="s">
        <v>13</v>
      </c>
      <c r="AB3" s="6" t="s">
        <v>12</v>
      </c>
      <c r="AC3" s="7">
        <v>27.531</v>
      </c>
      <c r="AD3" s="7">
        <v>26.866</v>
      </c>
      <c r="AE3" s="7">
        <v>27.803</v>
      </c>
      <c r="AF3" s="7">
        <v>27.221</v>
      </c>
      <c r="AG3" s="7">
        <v>27.408</v>
      </c>
      <c r="AH3" s="8">
        <f t="shared" ref="AH3:AH4" si="2">AVERAGE(AC3:AG3)</f>
        <v>27.3658</v>
      </c>
      <c r="AI3" s="6" t="s">
        <v>13</v>
      </c>
    </row>
    <row r="4">
      <c r="S4" s="6" t="s">
        <v>14</v>
      </c>
      <c r="T4" s="7">
        <v>27.96</v>
      </c>
      <c r="U4" s="7">
        <v>27.682</v>
      </c>
      <c r="V4" s="7">
        <v>27.943</v>
      </c>
      <c r="W4" s="7">
        <v>27.137</v>
      </c>
      <c r="X4" s="7">
        <v>28.571</v>
      </c>
      <c r="Y4" s="8">
        <f t="shared" si="1"/>
        <v>27.8586</v>
      </c>
      <c r="Z4" s="6" t="s">
        <v>15</v>
      </c>
      <c r="AB4" s="6" t="s">
        <v>14</v>
      </c>
      <c r="AC4" s="7">
        <v>26.993</v>
      </c>
      <c r="AD4" s="7">
        <v>26.673</v>
      </c>
      <c r="AE4" s="7">
        <v>26.341</v>
      </c>
      <c r="AF4" s="7">
        <v>26.334</v>
      </c>
      <c r="AG4" s="7">
        <v>27.666</v>
      </c>
      <c r="AH4" s="8">
        <f t="shared" si="2"/>
        <v>26.8014</v>
      </c>
      <c r="AI4" s="6" t="s">
        <v>15</v>
      </c>
    </row>
    <row r="6">
      <c r="A6" s="1" t="s">
        <v>16</v>
      </c>
      <c r="J6" s="1" t="s">
        <v>17</v>
      </c>
      <c r="S6" s="1" t="s">
        <v>18</v>
      </c>
      <c r="AB6" s="1" t="s">
        <v>19</v>
      </c>
    </row>
    <row r="7">
      <c r="A7" s="2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4" t="s">
        <v>10</v>
      </c>
      <c r="H7" s="5" t="s">
        <v>11</v>
      </c>
      <c r="J7" s="2" t="s">
        <v>4</v>
      </c>
      <c r="K7" s="3" t="s">
        <v>5</v>
      </c>
      <c r="L7" s="3" t="s">
        <v>6</v>
      </c>
      <c r="M7" s="3" t="s">
        <v>7</v>
      </c>
      <c r="N7" s="3" t="s">
        <v>8</v>
      </c>
      <c r="O7" s="3" t="s">
        <v>9</v>
      </c>
      <c r="P7" s="4" t="s">
        <v>10</v>
      </c>
      <c r="Q7" s="5" t="s">
        <v>11</v>
      </c>
      <c r="S7" s="2" t="s">
        <v>4</v>
      </c>
      <c r="T7" s="3" t="s">
        <v>5</v>
      </c>
      <c r="U7" s="3" t="s">
        <v>6</v>
      </c>
      <c r="V7" s="3" t="s">
        <v>7</v>
      </c>
      <c r="W7" s="3" t="s">
        <v>8</v>
      </c>
      <c r="X7" s="3" t="s">
        <v>9</v>
      </c>
      <c r="Y7" s="4" t="s">
        <v>10</v>
      </c>
      <c r="Z7" s="5" t="s">
        <v>11</v>
      </c>
      <c r="AB7" s="2" t="s">
        <v>4</v>
      </c>
      <c r="AC7" s="3" t="s">
        <v>5</v>
      </c>
      <c r="AD7" s="3" t="s">
        <v>6</v>
      </c>
      <c r="AE7" s="3" t="s">
        <v>7</v>
      </c>
      <c r="AF7" s="3" t="s">
        <v>8</v>
      </c>
      <c r="AG7" s="3" t="s">
        <v>9</v>
      </c>
      <c r="AH7" s="4" t="s">
        <v>10</v>
      </c>
      <c r="AI7" s="5" t="s">
        <v>11</v>
      </c>
    </row>
    <row r="8">
      <c r="A8" s="6" t="s">
        <v>12</v>
      </c>
      <c r="B8" s="7">
        <v>28.234</v>
      </c>
      <c r="C8" s="7">
        <v>28.861</v>
      </c>
      <c r="D8" s="7">
        <v>27.926</v>
      </c>
      <c r="E8" s="7">
        <v>27.91</v>
      </c>
      <c r="F8" s="7">
        <v>28.54</v>
      </c>
      <c r="G8" s="8">
        <f t="shared" ref="G8:G9" si="3">AVERAGE(B8:F8)</f>
        <v>28.2942</v>
      </c>
      <c r="H8" s="6" t="s">
        <v>13</v>
      </c>
      <c r="J8" s="6" t="s">
        <v>20</v>
      </c>
      <c r="K8" s="7">
        <v>26.589</v>
      </c>
      <c r="L8" s="7">
        <v>26.56</v>
      </c>
      <c r="M8" s="7">
        <v>26.862</v>
      </c>
      <c r="N8" s="7">
        <v>26.862</v>
      </c>
      <c r="O8" s="7">
        <v>26.568</v>
      </c>
      <c r="P8" s="8">
        <f t="shared" ref="P8:P10" si="4">AVERAGE(K8:O8)</f>
        <v>26.6882</v>
      </c>
      <c r="Q8" s="6" t="s">
        <v>21</v>
      </c>
      <c r="S8" s="6" t="s">
        <v>20</v>
      </c>
      <c r="T8" s="7">
        <v>26.401</v>
      </c>
      <c r="U8" s="7">
        <v>27.001</v>
      </c>
      <c r="V8" s="7">
        <v>26.697</v>
      </c>
      <c r="W8" s="7">
        <v>26.491</v>
      </c>
      <c r="X8" s="7">
        <v>27.001</v>
      </c>
      <c r="Y8" s="8">
        <f t="shared" ref="Y8:Y10" si="5">AVERAGE(T8:X8)</f>
        <v>26.7182</v>
      </c>
      <c r="Z8" s="6" t="s">
        <v>21</v>
      </c>
      <c r="AB8" s="6" t="s">
        <v>20</v>
      </c>
      <c r="AC8" s="7">
        <v>27.645</v>
      </c>
      <c r="AD8" s="7">
        <v>26.891</v>
      </c>
      <c r="AE8" s="7">
        <v>27.267</v>
      </c>
      <c r="AF8" s="7">
        <v>27.27</v>
      </c>
      <c r="AG8" s="7">
        <v>27.291</v>
      </c>
      <c r="AH8" s="8">
        <f t="shared" ref="AH8:AH9" si="6">AVERAGE(AC8:AG8)</f>
        <v>27.2728</v>
      </c>
      <c r="AI8" s="6" t="s">
        <v>21</v>
      </c>
    </row>
    <row r="9">
      <c r="A9" s="6" t="s">
        <v>14</v>
      </c>
      <c r="B9" s="7">
        <v>27.487</v>
      </c>
      <c r="C9" s="7">
        <v>27.485</v>
      </c>
      <c r="D9" s="7">
        <v>27.495</v>
      </c>
      <c r="E9" s="7">
        <v>28.078</v>
      </c>
      <c r="F9" s="7">
        <v>28.393</v>
      </c>
      <c r="G9" s="8">
        <f t="shared" si="3"/>
        <v>27.7876</v>
      </c>
      <c r="H9" s="6" t="s">
        <v>15</v>
      </c>
      <c r="J9" s="6" t="s">
        <v>22</v>
      </c>
      <c r="K9" s="7">
        <v>28.231</v>
      </c>
      <c r="L9" s="7">
        <v>28.428</v>
      </c>
      <c r="M9" s="7">
        <v>28.433</v>
      </c>
      <c r="N9" s="7">
        <v>29.235</v>
      </c>
      <c r="O9" s="7">
        <v>28.681</v>
      </c>
      <c r="P9" s="8">
        <f t="shared" si="4"/>
        <v>28.6016</v>
      </c>
      <c r="Q9" s="6" t="s">
        <v>23</v>
      </c>
      <c r="S9" s="6" t="s">
        <v>22</v>
      </c>
      <c r="T9" s="7">
        <v>27.502</v>
      </c>
      <c r="U9" s="7">
        <v>27.018</v>
      </c>
      <c r="V9" s="7">
        <v>28.247</v>
      </c>
      <c r="W9" s="7">
        <v>27.351</v>
      </c>
      <c r="X9" s="7">
        <v>28.52</v>
      </c>
      <c r="Y9" s="8">
        <f t="shared" si="5"/>
        <v>27.7276</v>
      </c>
      <c r="Z9" s="6" t="s">
        <v>23</v>
      </c>
      <c r="AB9" s="6" t="s">
        <v>22</v>
      </c>
      <c r="AC9" s="7">
        <v>26.7</v>
      </c>
      <c r="AD9" s="7">
        <v>26.837</v>
      </c>
      <c r="AE9" s="7">
        <v>27.48</v>
      </c>
      <c r="AF9" s="7">
        <v>27.976</v>
      </c>
      <c r="AG9" s="7">
        <v>28.676</v>
      </c>
      <c r="AH9" s="8">
        <f t="shared" si="6"/>
        <v>27.5338</v>
      </c>
      <c r="AI9" s="6" t="s">
        <v>23</v>
      </c>
    </row>
    <row r="10">
      <c r="J10" s="6" t="s">
        <v>24</v>
      </c>
      <c r="K10" s="7">
        <v>26.489</v>
      </c>
      <c r="L10" s="7">
        <v>25.653</v>
      </c>
      <c r="M10" s="7">
        <v>27.416</v>
      </c>
      <c r="N10" s="7">
        <v>26.48</v>
      </c>
      <c r="O10" s="7">
        <v>25.956</v>
      </c>
      <c r="P10" s="8">
        <f t="shared" si="4"/>
        <v>26.3988</v>
      </c>
      <c r="Q10" s="6" t="s">
        <v>25</v>
      </c>
      <c r="S10" s="6" t="s">
        <v>24</v>
      </c>
      <c r="T10" s="7">
        <v>26.329</v>
      </c>
      <c r="U10" s="7">
        <v>26.606</v>
      </c>
      <c r="V10" s="7">
        <v>26.045</v>
      </c>
      <c r="W10" s="7">
        <v>25.772</v>
      </c>
      <c r="X10" s="7">
        <v>26.335</v>
      </c>
      <c r="Y10" s="8">
        <f t="shared" si="5"/>
        <v>26.2174</v>
      </c>
      <c r="Z10" s="6" t="s">
        <v>25</v>
      </c>
    </row>
    <row r="12">
      <c r="A12" s="1" t="s">
        <v>26</v>
      </c>
      <c r="J12" s="1" t="s">
        <v>27</v>
      </c>
      <c r="S12" s="1" t="s">
        <v>28</v>
      </c>
      <c r="AB12" s="1" t="s">
        <v>29</v>
      </c>
    </row>
    <row r="13">
      <c r="A13" s="2" t="s">
        <v>4</v>
      </c>
      <c r="B13" s="3" t="s">
        <v>5</v>
      </c>
      <c r="C13" s="3" t="s">
        <v>6</v>
      </c>
      <c r="D13" s="3" t="s">
        <v>7</v>
      </c>
      <c r="E13" s="3" t="s">
        <v>8</v>
      </c>
      <c r="F13" s="3" t="s">
        <v>9</v>
      </c>
      <c r="G13" s="4" t="s">
        <v>10</v>
      </c>
      <c r="H13" s="5" t="s">
        <v>11</v>
      </c>
      <c r="J13" s="2" t="s">
        <v>4</v>
      </c>
      <c r="K13" s="3" t="s">
        <v>5</v>
      </c>
      <c r="L13" s="3" t="s">
        <v>6</v>
      </c>
      <c r="M13" s="3" t="s">
        <v>7</v>
      </c>
      <c r="N13" s="3" t="s">
        <v>8</v>
      </c>
      <c r="O13" s="3" t="s">
        <v>9</v>
      </c>
      <c r="P13" s="4" t="s">
        <v>10</v>
      </c>
      <c r="Q13" s="5" t="s">
        <v>11</v>
      </c>
      <c r="S13" s="2" t="s">
        <v>4</v>
      </c>
      <c r="T13" s="3" t="s">
        <v>5</v>
      </c>
      <c r="U13" s="3" t="s">
        <v>6</v>
      </c>
      <c r="V13" s="3" t="s">
        <v>7</v>
      </c>
      <c r="W13" s="3" t="s">
        <v>8</v>
      </c>
      <c r="X13" s="3" t="s">
        <v>9</v>
      </c>
      <c r="Y13" s="4" t="s">
        <v>10</v>
      </c>
      <c r="Z13" s="5" t="s">
        <v>11</v>
      </c>
      <c r="AB13" s="2" t="s">
        <v>4</v>
      </c>
      <c r="AC13" s="3" t="s">
        <v>5</v>
      </c>
      <c r="AD13" s="3" t="s">
        <v>6</v>
      </c>
      <c r="AE13" s="3" t="s">
        <v>7</v>
      </c>
      <c r="AF13" s="3" t="s">
        <v>8</v>
      </c>
      <c r="AG13" s="3" t="s">
        <v>9</v>
      </c>
      <c r="AH13" s="4" t="s">
        <v>10</v>
      </c>
      <c r="AI13" s="5" t="s">
        <v>11</v>
      </c>
    </row>
    <row r="14">
      <c r="A14" s="6" t="s">
        <v>30</v>
      </c>
      <c r="B14" s="7">
        <v>27.245</v>
      </c>
      <c r="C14" s="7">
        <v>27.525</v>
      </c>
      <c r="D14" s="7">
        <v>28.543</v>
      </c>
      <c r="E14" s="7">
        <v>26.945</v>
      </c>
      <c r="F14" s="7">
        <v>29.213</v>
      </c>
      <c r="G14" s="8">
        <f t="shared" ref="G14:G15" si="7">AVERAGE(B14:F14)</f>
        <v>27.8942</v>
      </c>
      <c r="H14" s="6" t="s">
        <v>23</v>
      </c>
      <c r="J14" s="6" t="s">
        <v>31</v>
      </c>
      <c r="K14" s="7">
        <v>26.725</v>
      </c>
      <c r="L14" s="7">
        <v>26.793</v>
      </c>
      <c r="M14" s="7">
        <v>27.716</v>
      </c>
      <c r="N14" s="7">
        <v>26.726</v>
      </c>
      <c r="O14" s="7">
        <v>26.493</v>
      </c>
      <c r="P14" s="8">
        <f t="shared" ref="P14:P15" si="8">AVERAGE(K14:O14)</f>
        <v>26.8906</v>
      </c>
      <c r="Q14" s="6" t="s">
        <v>15</v>
      </c>
      <c r="S14" s="6" t="s">
        <v>32</v>
      </c>
      <c r="T14" s="7">
        <v>27.399</v>
      </c>
      <c r="U14" s="7">
        <v>27.38</v>
      </c>
      <c r="V14" s="7">
        <v>27.73</v>
      </c>
      <c r="W14" s="7">
        <v>27.401</v>
      </c>
      <c r="X14" s="7">
        <v>27.401</v>
      </c>
      <c r="Y14" s="8">
        <f t="shared" ref="Y14:Y15" si="9">AVERAGE(T14:X14)</f>
        <v>27.4622</v>
      </c>
      <c r="Z14" s="6" t="s">
        <v>21</v>
      </c>
      <c r="AB14" s="6" t="s">
        <v>32</v>
      </c>
      <c r="AC14" s="7">
        <v>27.238</v>
      </c>
      <c r="AD14" s="7">
        <v>27.887</v>
      </c>
      <c r="AE14" s="7">
        <v>27.566</v>
      </c>
      <c r="AF14" s="7">
        <v>27.245</v>
      </c>
      <c r="AG14" s="7">
        <v>27.544</v>
      </c>
      <c r="AH14" s="8">
        <f>AVERAGE(AC14:AG14)</f>
        <v>27.496</v>
      </c>
      <c r="AI14" s="6" t="s">
        <v>21</v>
      </c>
    </row>
    <row r="15">
      <c r="A15" s="6" t="s">
        <v>33</v>
      </c>
      <c r="B15" s="7">
        <v>27.063</v>
      </c>
      <c r="C15" s="7">
        <v>27.056</v>
      </c>
      <c r="D15" s="7">
        <v>27.578</v>
      </c>
      <c r="E15" s="7">
        <v>27.403</v>
      </c>
      <c r="F15" s="7">
        <v>27.686</v>
      </c>
      <c r="G15" s="8">
        <f t="shared" si="7"/>
        <v>27.3572</v>
      </c>
      <c r="H15" s="6" t="s">
        <v>13</v>
      </c>
      <c r="J15" s="6" t="s">
        <v>33</v>
      </c>
      <c r="K15" s="7">
        <v>27.622</v>
      </c>
      <c r="L15" s="7">
        <v>27.111</v>
      </c>
      <c r="M15" s="7">
        <v>27.959</v>
      </c>
      <c r="N15" s="7">
        <v>26.491</v>
      </c>
      <c r="O15" s="7">
        <v>27.678</v>
      </c>
      <c r="P15" s="8">
        <f t="shared" si="8"/>
        <v>27.3722</v>
      </c>
      <c r="Q15" s="6" t="s">
        <v>13</v>
      </c>
      <c r="S15" s="6" t="s">
        <v>34</v>
      </c>
      <c r="T15" s="7">
        <v>27.09</v>
      </c>
      <c r="U15" s="7">
        <v>27.352</v>
      </c>
      <c r="V15" s="7">
        <v>27.387</v>
      </c>
      <c r="W15" s="7">
        <v>27.467</v>
      </c>
      <c r="X15" s="7">
        <v>27.09</v>
      </c>
      <c r="Y15" s="8">
        <f t="shared" si="9"/>
        <v>27.2772</v>
      </c>
      <c r="Z15" s="6" t="s">
        <v>13</v>
      </c>
    </row>
    <row r="18">
      <c r="A18" s="1" t="s">
        <v>35</v>
      </c>
      <c r="J18" s="1" t="s">
        <v>36</v>
      </c>
      <c r="S18" s="1" t="s">
        <v>37</v>
      </c>
    </row>
    <row r="19">
      <c r="A19" s="2" t="s">
        <v>4</v>
      </c>
      <c r="B19" s="3" t="s">
        <v>5</v>
      </c>
      <c r="C19" s="3" t="s">
        <v>6</v>
      </c>
      <c r="D19" s="3" t="s">
        <v>7</v>
      </c>
      <c r="E19" s="3" t="s">
        <v>8</v>
      </c>
      <c r="F19" s="3" t="s">
        <v>9</v>
      </c>
      <c r="G19" s="4" t="s">
        <v>10</v>
      </c>
      <c r="H19" s="5" t="s">
        <v>11</v>
      </c>
      <c r="J19" s="2" t="s">
        <v>4</v>
      </c>
      <c r="K19" s="3" t="s">
        <v>5</v>
      </c>
      <c r="L19" s="3" t="s">
        <v>6</v>
      </c>
      <c r="M19" s="3" t="s">
        <v>7</v>
      </c>
      <c r="N19" s="3" t="s">
        <v>8</v>
      </c>
      <c r="O19" s="3" t="s">
        <v>9</v>
      </c>
      <c r="P19" s="4" t="s">
        <v>10</v>
      </c>
      <c r="Q19" s="5" t="s">
        <v>11</v>
      </c>
      <c r="S19" s="2" t="s">
        <v>4</v>
      </c>
      <c r="T19" s="3" t="s">
        <v>5</v>
      </c>
      <c r="U19" s="3" t="s">
        <v>6</v>
      </c>
      <c r="V19" s="3" t="s">
        <v>7</v>
      </c>
      <c r="W19" s="3" t="s">
        <v>8</v>
      </c>
      <c r="X19" s="3" t="s">
        <v>9</v>
      </c>
      <c r="Y19" s="4" t="s">
        <v>10</v>
      </c>
      <c r="Z19" s="5" t="s">
        <v>11</v>
      </c>
    </row>
    <row r="20">
      <c r="A20" s="6" t="s">
        <v>38</v>
      </c>
      <c r="B20" s="7">
        <v>27.013</v>
      </c>
      <c r="C20" s="7">
        <v>27.32</v>
      </c>
      <c r="D20" s="7">
        <v>27.007</v>
      </c>
      <c r="E20" s="7">
        <v>26.995</v>
      </c>
      <c r="F20" s="7">
        <v>26.997</v>
      </c>
      <c r="G20" s="8">
        <f t="shared" ref="G20:G21" si="10">AVERAGE(B20:F20)</f>
        <v>27.0664</v>
      </c>
      <c r="H20" s="6" t="s">
        <v>13</v>
      </c>
      <c r="J20" s="6" t="s">
        <v>39</v>
      </c>
      <c r="K20" s="7">
        <v>27.381</v>
      </c>
      <c r="L20" s="7">
        <v>27.359</v>
      </c>
      <c r="M20" s="7">
        <v>28.057</v>
      </c>
      <c r="N20" s="7">
        <v>27.715</v>
      </c>
      <c r="O20" s="7">
        <v>27.727</v>
      </c>
      <c r="P20" s="8">
        <f t="shared" ref="P20:P22" si="11">AVERAGE(K20:O20)</f>
        <v>27.6478</v>
      </c>
      <c r="Q20" s="6" t="s">
        <v>40</v>
      </c>
      <c r="S20" s="6" t="s">
        <v>41</v>
      </c>
      <c r="T20" s="7">
        <v>27.776</v>
      </c>
      <c r="U20" s="7">
        <v>27.196</v>
      </c>
      <c r="V20" s="7">
        <v>26.718</v>
      </c>
      <c r="W20" s="7">
        <v>27.804</v>
      </c>
      <c r="X20" s="7">
        <v>27.395</v>
      </c>
      <c r="Y20" s="8">
        <f t="shared" ref="Y20:Y21" si="12">AVERAGE(T20:X20)</f>
        <v>27.3778</v>
      </c>
      <c r="Z20" s="6" t="s">
        <v>40</v>
      </c>
    </row>
    <row r="21">
      <c r="A21" s="6" t="s">
        <v>39</v>
      </c>
      <c r="B21" s="7">
        <v>27.779</v>
      </c>
      <c r="C21" s="7">
        <v>27.705</v>
      </c>
      <c r="D21" s="7">
        <v>27.749</v>
      </c>
      <c r="E21" s="7">
        <v>27.777</v>
      </c>
      <c r="F21" s="7">
        <v>28.087</v>
      </c>
      <c r="G21" s="8">
        <f t="shared" si="10"/>
        <v>27.8194</v>
      </c>
      <c r="H21" s="6" t="s">
        <v>40</v>
      </c>
      <c r="J21" s="6" t="s">
        <v>42</v>
      </c>
      <c r="K21" s="7">
        <v>27.505</v>
      </c>
      <c r="L21" s="7">
        <v>26.87</v>
      </c>
      <c r="M21" s="7">
        <v>27.5</v>
      </c>
      <c r="N21" s="7">
        <v>26.877</v>
      </c>
      <c r="O21" s="7">
        <v>26.881</v>
      </c>
      <c r="P21" s="8">
        <f t="shared" si="11"/>
        <v>27.1266</v>
      </c>
      <c r="Q21" s="6" t="s">
        <v>13</v>
      </c>
      <c r="S21" s="6" t="s">
        <v>43</v>
      </c>
      <c r="T21" s="7">
        <v>26.096</v>
      </c>
      <c r="U21" s="7">
        <v>27.573</v>
      </c>
      <c r="V21" s="7">
        <v>27.656</v>
      </c>
      <c r="W21" s="7">
        <v>26.379</v>
      </c>
      <c r="X21" s="7">
        <v>25.906</v>
      </c>
      <c r="Y21" s="8">
        <f t="shared" si="12"/>
        <v>26.722</v>
      </c>
      <c r="Z21" s="6" t="s">
        <v>25</v>
      </c>
    </row>
    <row r="22">
      <c r="J22" s="6" t="s">
        <v>44</v>
      </c>
      <c r="K22" s="7">
        <v>27.203</v>
      </c>
      <c r="L22" s="7">
        <v>26.278</v>
      </c>
      <c r="M22" s="7">
        <v>26.9</v>
      </c>
      <c r="N22" s="7">
        <v>26.882</v>
      </c>
      <c r="O22" s="7">
        <v>27.498</v>
      </c>
      <c r="P22" s="8">
        <f t="shared" si="11"/>
        <v>26.9522</v>
      </c>
      <c r="Q22" s="6" t="s">
        <v>15</v>
      </c>
    </row>
    <row r="24">
      <c r="A24" s="9" t="s">
        <v>45</v>
      </c>
      <c r="B24" s="9" t="s">
        <v>46</v>
      </c>
      <c r="C24" s="9" t="s">
        <v>47</v>
      </c>
      <c r="E24" s="5" t="s">
        <v>23</v>
      </c>
      <c r="F24" s="5" t="s">
        <v>21</v>
      </c>
      <c r="G24" s="5" t="s">
        <v>25</v>
      </c>
      <c r="H24" s="5" t="s">
        <v>15</v>
      </c>
      <c r="I24" s="5" t="s">
        <v>13</v>
      </c>
      <c r="J24" s="5" t="s">
        <v>40</v>
      </c>
      <c r="L24" s="6"/>
      <c r="M24" s="6"/>
      <c r="N24" s="6"/>
      <c r="O24" s="6"/>
      <c r="P24" s="6"/>
      <c r="Q24" s="6"/>
    </row>
    <row r="25">
      <c r="A25" s="8">
        <f t="shared" ref="A25:A32" si="13">360/(14.4-2.7*SIN(RADIANS(B25))^2)</f>
        <v>26.2295082</v>
      </c>
      <c r="B25" s="10">
        <v>30.0</v>
      </c>
      <c r="C25" s="11">
        <f t="shared" ref="C25:C32" si="14">1/(1/A25-1/365)</f>
        <v>28.26034358</v>
      </c>
      <c r="E25" s="8">
        <f>P9</f>
        <v>28.6016</v>
      </c>
      <c r="F25" s="8">
        <f>P8</f>
        <v>26.6882</v>
      </c>
      <c r="G25" s="8">
        <f>P10</f>
        <v>26.3988</v>
      </c>
      <c r="H25" s="8">
        <f>Y4</f>
        <v>27.8586</v>
      </c>
      <c r="I25" s="8">
        <f>P3</f>
        <v>27.8618</v>
      </c>
      <c r="J25" s="7">
        <f>G21</f>
        <v>27.8194</v>
      </c>
    </row>
    <row r="26">
      <c r="A26" s="8">
        <f t="shared" si="13"/>
        <v>25.56062982</v>
      </c>
      <c r="B26" s="10">
        <v>20.0</v>
      </c>
      <c r="C26" s="11">
        <f t="shared" si="14"/>
        <v>27.48540889</v>
      </c>
      <c r="E26" s="8">
        <f>Y9</f>
        <v>27.7276</v>
      </c>
      <c r="F26" s="8">
        <f>Y8</f>
        <v>26.7182</v>
      </c>
      <c r="G26" s="8">
        <f>Y10</f>
        <v>26.2174</v>
      </c>
      <c r="H26" s="8">
        <f>AH4</f>
        <v>26.8014</v>
      </c>
      <c r="I26" s="8">
        <f>Y3</f>
        <v>27.406</v>
      </c>
      <c r="J26" s="8">
        <f>P20</f>
        <v>27.6478</v>
      </c>
    </row>
    <row r="27">
      <c r="A27" s="8">
        <f t="shared" si="13"/>
        <v>25.14214911</v>
      </c>
      <c r="B27" s="10">
        <v>10.0</v>
      </c>
      <c r="C27" s="11">
        <f t="shared" si="14"/>
        <v>27.00212574</v>
      </c>
      <c r="E27" s="8">
        <f>AH9</f>
        <v>27.5338</v>
      </c>
      <c r="F27" s="8">
        <f>AH8</f>
        <v>27.2728</v>
      </c>
      <c r="G27" s="8">
        <f>P22</f>
        <v>26.9522</v>
      </c>
      <c r="H27" s="8">
        <f>G9</f>
        <v>27.7876</v>
      </c>
      <c r="I27" s="8">
        <f>AH3</f>
        <v>27.3658</v>
      </c>
      <c r="J27" s="8">
        <f>Y20</f>
        <v>27.3778</v>
      </c>
    </row>
    <row r="28">
      <c r="A28" s="8">
        <f t="shared" si="13"/>
        <v>25</v>
      </c>
      <c r="B28" s="10">
        <v>0.0</v>
      </c>
      <c r="C28" s="11">
        <f t="shared" si="14"/>
        <v>26.83823529</v>
      </c>
      <c r="E28" s="8">
        <f>G14</f>
        <v>27.8942</v>
      </c>
      <c r="F28" s="8">
        <f>Y14</f>
        <v>27.4622</v>
      </c>
      <c r="G28" s="8"/>
      <c r="H28" s="8">
        <f>P14</f>
        <v>26.8906</v>
      </c>
      <c r="I28" s="8">
        <f>G8</f>
        <v>28.2942</v>
      </c>
      <c r="J28" s="8"/>
    </row>
    <row r="29">
      <c r="A29" s="8">
        <f t="shared" si="13"/>
        <v>25.14214911</v>
      </c>
      <c r="B29" s="10">
        <v>10.0</v>
      </c>
      <c r="C29" s="11">
        <f t="shared" si="14"/>
        <v>27.00212574</v>
      </c>
      <c r="E29" s="8"/>
      <c r="F29" s="8">
        <f>AH14</f>
        <v>27.496</v>
      </c>
      <c r="G29" s="8"/>
      <c r="H29" s="8">
        <f>P22</f>
        <v>26.9522</v>
      </c>
      <c r="I29" s="8">
        <f>G15</f>
        <v>27.3572</v>
      </c>
      <c r="J29" s="8"/>
    </row>
    <row r="30">
      <c r="A30" s="8">
        <f t="shared" si="13"/>
        <v>25.56062982</v>
      </c>
      <c r="B30" s="10">
        <v>20.0</v>
      </c>
      <c r="C30" s="11">
        <f t="shared" si="14"/>
        <v>27.48540889</v>
      </c>
      <c r="E30" s="8"/>
      <c r="F30" s="8"/>
      <c r="G30" s="8"/>
      <c r="H30" s="8"/>
      <c r="I30" s="8">
        <f>P15</f>
        <v>27.3722</v>
      </c>
      <c r="J30" s="8"/>
    </row>
    <row r="31">
      <c r="A31" s="8">
        <f t="shared" si="13"/>
        <v>26.2295082</v>
      </c>
      <c r="B31" s="10">
        <v>30.0</v>
      </c>
      <c r="C31" s="11">
        <f t="shared" si="14"/>
        <v>28.26034358</v>
      </c>
      <c r="E31" s="8"/>
      <c r="F31" s="8"/>
      <c r="G31" s="8"/>
      <c r="H31" s="8"/>
      <c r="I31" s="8">
        <f>Y15</f>
        <v>27.2772</v>
      </c>
      <c r="J31" s="8"/>
    </row>
    <row r="32">
      <c r="A32" s="8">
        <f t="shared" si="13"/>
        <v>25.40722</v>
      </c>
      <c r="B32" s="10">
        <v>17.0</v>
      </c>
      <c r="C32" s="11">
        <f t="shared" si="14"/>
        <v>27.30810502</v>
      </c>
      <c r="E32" s="8"/>
      <c r="F32" s="8"/>
      <c r="G32" s="8"/>
      <c r="H32" s="8"/>
      <c r="I32" s="8">
        <f>G20</f>
        <v>27.0664</v>
      </c>
      <c r="J32" s="8"/>
    </row>
    <row r="33">
      <c r="E33" s="8"/>
      <c r="F33" s="8"/>
      <c r="G33" s="8"/>
      <c r="H33" s="8"/>
      <c r="I33" s="8">
        <f>P21</f>
        <v>27.1266</v>
      </c>
      <c r="J33" s="8"/>
      <c r="L33" s="12"/>
    </row>
    <row r="34">
      <c r="E34" s="8"/>
      <c r="F34" s="8"/>
      <c r="G34" s="8"/>
      <c r="H34" s="8"/>
      <c r="I34" s="8"/>
      <c r="J34" s="8"/>
      <c r="L34" s="6"/>
      <c r="M34" s="6"/>
      <c r="O34" s="6"/>
      <c r="P34" s="6"/>
    </row>
    <row r="35">
      <c r="D35" s="9" t="s">
        <v>48</v>
      </c>
      <c r="E35" s="13">
        <f t="shared" ref="E35:J35" si="15">AVERAGE(E25:E34)</f>
        <v>27.9393</v>
      </c>
      <c r="F35" s="13">
        <f t="shared" si="15"/>
        <v>27.12748</v>
      </c>
      <c r="G35" s="13">
        <f t="shared" si="15"/>
        <v>26.5228</v>
      </c>
      <c r="H35" s="13">
        <f t="shared" si="15"/>
        <v>27.25808</v>
      </c>
      <c r="I35" s="13">
        <f t="shared" si="15"/>
        <v>27.4586</v>
      </c>
      <c r="J35" s="13">
        <f t="shared" si="15"/>
        <v>27.615</v>
      </c>
      <c r="L35" s="14"/>
      <c r="M35" s="14"/>
      <c r="O35" s="15"/>
      <c r="P35" s="14"/>
    </row>
    <row r="36">
      <c r="L36" s="14"/>
      <c r="M36" s="14"/>
      <c r="O36" s="15"/>
      <c r="P36" s="14"/>
    </row>
    <row r="37">
      <c r="A37" s="1" t="s">
        <v>49</v>
      </c>
      <c r="K37" s="6" t="s">
        <v>50</v>
      </c>
      <c r="L37" s="7">
        <f>14.4-2.7*SIN(RADIANS($B$32))^2</f>
        <v>14.16920072</v>
      </c>
      <c r="M37" s="14"/>
      <c r="O37" s="15"/>
      <c r="P37" s="14"/>
    </row>
    <row r="38">
      <c r="A38" s="2" t="s">
        <v>51</v>
      </c>
      <c r="B38" s="3" t="s">
        <v>5</v>
      </c>
      <c r="C38" s="3" t="s">
        <v>6</v>
      </c>
      <c r="D38" s="3" t="s">
        <v>7</v>
      </c>
      <c r="E38" s="3" t="s">
        <v>8</v>
      </c>
      <c r="F38" s="3" t="s">
        <v>9</v>
      </c>
      <c r="G38" s="4" t="s">
        <v>10</v>
      </c>
      <c r="H38" s="5" t="s">
        <v>52</v>
      </c>
      <c r="I38" s="16" t="s">
        <v>53</v>
      </c>
      <c r="J38" s="17" t="s">
        <v>54</v>
      </c>
      <c r="L38" s="6" t="s">
        <v>55</v>
      </c>
      <c r="M38" s="14"/>
      <c r="O38" s="15"/>
      <c r="P38" s="14"/>
    </row>
    <row r="39">
      <c r="A39" s="6" t="s">
        <v>56</v>
      </c>
      <c r="B39" s="7">
        <v>27.576</v>
      </c>
      <c r="C39" s="7">
        <v>27.413</v>
      </c>
      <c r="D39" s="7">
        <v>27.496</v>
      </c>
      <c r="E39" s="7">
        <v>27.34</v>
      </c>
      <c r="F39" s="7">
        <v>27.57</v>
      </c>
      <c r="G39" s="18">
        <f t="shared" ref="G39:G43" si="16">AVERAGE(B39:F39)</f>
        <v>27.479</v>
      </c>
      <c r="H39" s="6">
        <v>2.017</v>
      </c>
      <c r="I39" s="19">
        <f t="shared" ref="I39:I44" si="17">1/(1/L39-1/365)</f>
        <v>27.61484633</v>
      </c>
      <c r="J39" s="11">
        <f t="shared" ref="J39:J43" si="18">$C$32</f>
        <v>27.30810502</v>
      </c>
      <c r="L39" s="8">
        <f t="shared" ref="L39:L43" si="19">(PI()*H39)/(SIN(RADIANS(($L$37*H39)/2)))</f>
        <v>25.67253634</v>
      </c>
      <c r="M39" s="14"/>
      <c r="O39" s="15"/>
      <c r="P39" s="14"/>
    </row>
    <row r="40">
      <c r="A40" s="6" t="s">
        <v>57</v>
      </c>
      <c r="B40" s="7">
        <v>28.347</v>
      </c>
      <c r="C40" s="7">
        <v>28.358</v>
      </c>
      <c r="D40" s="7">
        <v>28.363</v>
      </c>
      <c r="E40" s="7">
        <v>28.389</v>
      </c>
      <c r="F40" s="7">
        <v>28.267</v>
      </c>
      <c r="G40" s="18">
        <f t="shared" si="16"/>
        <v>28.3448</v>
      </c>
      <c r="H40" s="6">
        <v>3.942</v>
      </c>
      <c r="I40" s="19">
        <f t="shared" si="17"/>
        <v>28.50703368</v>
      </c>
      <c r="J40" s="11">
        <f t="shared" si="18"/>
        <v>27.30810502</v>
      </c>
      <c r="L40" s="8">
        <f t="shared" si="19"/>
        <v>26.44188389</v>
      </c>
      <c r="M40" s="14"/>
      <c r="O40" s="15"/>
      <c r="P40" s="14"/>
    </row>
    <row r="41">
      <c r="A41" s="6" t="s">
        <v>58</v>
      </c>
      <c r="B41" s="7">
        <v>29.666</v>
      </c>
      <c r="C41" s="7">
        <v>29.661</v>
      </c>
      <c r="D41" s="7">
        <v>29.643</v>
      </c>
      <c r="E41" s="7">
        <v>29.63</v>
      </c>
      <c r="F41" s="7">
        <v>29.594</v>
      </c>
      <c r="G41" s="18">
        <f t="shared" si="16"/>
        <v>29.6388</v>
      </c>
      <c r="H41" s="6">
        <v>6.009</v>
      </c>
      <c r="I41" s="19">
        <f t="shared" si="17"/>
        <v>30.21478205</v>
      </c>
      <c r="J41" s="11">
        <f t="shared" si="18"/>
        <v>27.30810502</v>
      </c>
      <c r="L41" s="8">
        <f t="shared" si="19"/>
        <v>27.90481518</v>
      </c>
    </row>
    <row r="42">
      <c r="A42" s="6" t="s">
        <v>59</v>
      </c>
      <c r="B42" s="7">
        <v>31.671</v>
      </c>
      <c r="C42" s="7">
        <v>31.663</v>
      </c>
      <c r="D42" s="7">
        <v>31.697</v>
      </c>
      <c r="E42" s="7">
        <v>31.645</v>
      </c>
      <c r="F42" s="7">
        <v>31.671</v>
      </c>
      <c r="G42" s="18">
        <f t="shared" si="16"/>
        <v>31.6694</v>
      </c>
      <c r="H42" s="7">
        <v>8.03</v>
      </c>
      <c r="I42" s="19">
        <f t="shared" si="17"/>
        <v>32.82618229</v>
      </c>
      <c r="J42" s="11">
        <f t="shared" si="18"/>
        <v>27.30810502</v>
      </c>
      <c r="L42" s="8">
        <f t="shared" si="19"/>
        <v>30.11756659</v>
      </c>
      <c r="M42" s="12"/>
    </row>
    <row r="43">
      <c r="A43" s="6" t="s">
        <v>60</v>
      </c>
      <c r="B43" s="7">
        <v>34.363</v>
      </c>
      <c r="C43" s="7">
        <v>34.343</v>
      </c>
      <c r="D43" s="7">
        <v>34.343</v>
      </c>
      <c r="E43" s="7">
        <v>34.388</v>
      </c>
      <c r="F43" s="7">
        <v>34.332</v>
      </c>
      <c r="G43" s="18">
        <f t="shared" si="16"/>
        <v>34.3538</v>
      </c>
      <c r="H43" s="6">
        <v>9.903</v>
      </c>
      <c r="I43" s="19">
        <f t="shared" si="17"/>
        <v>36.37031019</v>
      </c>
      <c r="J43" s="11">
        <f t="shared" si="18"/>
        <v>27.30810502</v>
      </c>
      <c r="L43" s="8">
        <f t="shared" si="19"/>
        <v>33.07460189</v>
      </c>
      <c r="M43" s="20"/>
    </row>
    <row r="44">
      <c r="I44" s="19">
        <f t="shared" si="17"/>
        <v>27.38304583</v>
      </c>
      <c r="L44" s="21">
        <f>(PI()*1)/(SIN(RADIANS(($L$37*1)/2)))</f>
        <v>25.47207845</v>
      </c>
      <c r="M44" s="20"/>
    </row>
    <row r="46">
      <c r="K46" s="6" t="s">
        <v>61</v>
      </c>
      <c r="L46" s="22">
        <f>CORREL(G39:G43,I39:I43)</f>
        <v>0.9996861542</v>
      </c>
    </row>
    <row r="49">
      <c r="A49" s="23" t="s">
        <v>62</v>
      </c>
      <c r="B49" s="23" t="s">
        <v>63</v>
      </c>
      <c r="C49" s="23" t="s">
        <v>64</v>
      </c>
      <c r="D49" s="24" t="s">
        <v>65</v>
      </c>
      <c r="E49" s="24" t="s">
        <v>66</v>
      </c>
      <c r="F49" s="25"/>
      <c r="G49" s="25"/>
      <c r="H49" s="23" t="s">
        <v>63</v>
      </c>
      <c r="I49" s="23" t="s">
        <v>67</v>
      </c>
      <c r="J49" s="23" t="s">
        <v>68</v>
      </c>
      <c r="K49" s="23" t="s">
        <v>69</v>
      </c>
      <c r="L49" s="23" t="s">
        <v>70</v>
      </c>
      <c r="M49" s="25"/>
      <c r="N49" s="25"/>
    </row>
    <row r="50">
      <c r="A50" s="26">
        <v>27.862</v>
      </c>
      <c r="B50" s="26">
        <v>12.0</v>
      </c>
      <c r="C50" s="27">
        <f t="shared" ref="C50:C78" si="21">1/(1/A50+1/365)</f>
        <v>25.88601086</v>
      </c>
      <c r="D50" s="28">
        <f t="shared" ref="D50:D78" si="22">360/C50</f>
        <v>13.90712543</v>
      </c>
      <c r="E50" s="29">
        <f t="shared" ref="E50:E78" si="23">SIN(RADIANS(B50))^2</f>
        <v>0.04322727118</v>
      </c>
      <c r="F50" s="25"/>
      <c r="G50" s="25"/>
      <c r="H50" s="26">
        <v>0.0</v>
      </c>
      <c r="I50" s="30">
        <f t="shared" ref="I50:I68" si="24">14.4-2.7*SIN(RADIANS(H50))^2</f>
        <v>14.4</v>
      </c>
      <c r="J50" s="30">
        <f t="shared" ref="J50:J68" si="25">$G$55+$F$55*SIN(RADIANS(H50))^2</f>
        <v>14.33183613</v>
      </c>
      <c r="K50" s="30">
        <f t="shared" ref="K50:L50" si="20">360/I50</f>
        <v>25</v>
      </c>
      <c r="L50" s="30">
        <f t="shared" si="20"/>
        <v>25.11890289</v>
      </c>
      <c r="M50" s="30"/>
      <c r="N50" s="30"/>
    </row>
    <row r="51">
      <c r="A51" s="26">
        <v>27.406</v>
      </c>
      <c r="B51" s="26">
        <v>12.0</v>
      </c>
      <c r="C51" s="27">
        <f t="shared" si="21"/>
        <v>25.49193947</v>
      </c>
      <c r="D51" s="28">
        <f t="shared" si="22"/>
        <v>14.12211105</v>
      </c>
      <c r="E51" s="29">
        <f t="shared" si="23"/>
        <v>0.04322727118</v>
      </c>
      <c r="F51" s="25"/>
      <c r="G51" s="25"/>
      <c r="H51" s="26">
        <v>5.0</v>
      </c>
      <c r="I51" s="30">
        <f t="shared" si="24"/>
        <v>14.37949047</v>
      </c>
      <c r="J51" s="30">
        <f t="shared" si="25"/>
        <v>14.31522538</v>
      </c>
      <c r="K51" s="30">
        <f t="shared" ref="K51:L51" si="26">360/I51</f>
        <v>25.03565762</v>
      </c>
      <c r="L51" s="30">
        <f t="shared" si="26"/>
        <v>25.14804974</v>
      </c>
      <c r="M51" s="30"/>
      <c r="N51" s="30"/>
    </row>
    <row r="52">
      <c r="A52" s="26">
        <v>27.859</v>
      </c>
      <c r="B52" s="26">
        <v>7.0</v>
      </c>
      <c r="C52" s="27">
        <f t="shared" si="21"/>
        <v>25.88342128</v>
      </c>
      <c r="D52" s="28">
        <f t="shared" si="22"/>
        <v>13.90851681</v>
      </c>
      <c r="E52" s="29">
        <f t="shared" si="23"/>
        <v>0.01485213686</v>
      </c>
      <c r="F52" s="31" t="s">
        <v>71</v>
      </c>
      <c r="G52" s="30">
        <f>CORREL(D50:D78,E50:E78)</f>
        <v>-0.5108233574</v>
      </c>
      <c r="H52" s="26">
        <v>10.0</v>
      </c>
      <c r="I52" s="30">
        <f t="shared" si="24"/>
        <v>14.31858504</v>
      </c>
      <c r="J52" s="30">
        <f t="shared" si="25"/>
        <v>14.26589785</v>
      </c>
      <c r="K52" s="30">
        <f t="shared" ref="K52:L52" si="27">360/I52</f>
        <v>25.14214911</v>
      </c>
      <c r="L52" s="30">
        <f t="shared" si="27"/>
        <v>25.23500475</v>
      </c>
      <c r="M52" s="30"/>
      <c r="N52" s="30"/>
    </row>
    <row r="53">
      <c r="A53" s="26">
        <v>27.366</v>
      </c>
      <c r="B53" s="26">
        <v>13.0</v>
      </c>
      <c r="C53" s="27">
        <f t="shared" si="21"/>
        <v>25.45732811</v>
      </c>
      <c r="D53" s="28">
        <f t="shared" si="22"/>
        <v>14.14131124</v>
      </c>
      <c r="E53" s="29">
        <f t="shared" si="23"/>
        <v>0.05060297685</v>
      </c>
      <c r="F53" s="25"/>
      <c r="G53" s="25"/>
      <c r="H53" s="26">
        <v>15.0</v>
      </c>
      <c r="I53" s="30">
        <f t="shared" si="24"/>
        <v>14.2191343</v>
      </c>
      <c r="J53" s="30">
        <f t="shared" si="25"/>
        <v>14.18535232</v>
      </c>
      <c r="K53" s="30">
        <f t="shared" ref="K53:L53" si="28">360/I53</f>
        <v>25.31799704</v>
      </c>
      <c r="L53" s="30">
        <f t="shared" si="28"/>
        <v>25.37829105</v>
      </c>
      <c r="M53" s="30"/>
      <c r="N53" s="30"/>
    </row>
    <row r="54">
      <c r="A54" s="26">
        <v>26.801</v>
      </c>
      <c r="B54" s="26">
        <v>7.0</v>
      </c>
      <c r="C54" s="27">
        <f t="shared" si="21"/>
        <v>24.96768768</v>
      </c>
      <c r="D54" s="28">
        <f t="shared" si="22"/>
        <v>14.41863598</v>
      </c>
      <c r="E54" s="29">
        <f t="shared" si="23"/>
        <v>0.01485213686</v>
      </c>
      <c r="F54" s="25" t="s">
        <v>72</v>
      </c>
      <c r="G54" s="25" t="s">
        <v>73</v>
      </c>
      <c r="H54" s="26">
        <v>20.0</v>
      </c>
      <c r="I54" s="30">
        <f t="shared" si="24"/>
        <v>14.08416</v>
      </c>
      <c r="J54" s="30">
        <f t="shared" si="25"/>
        <v>14.07603614</v>
      </c>
      <c r="K54" s="30">
        <f t="shared" ref="K54:L54" si="29">360/I54</f>
        <v>25.56062982</v>
      </c>
      <c r="L54" s="30">
        <f t="shared" si="29"/>
        <v>25.5753819</v>
      </c>
      <c r="M54" s="30"/>
      <c r="N54" s="30"/>
    </row>
    <row r="55">
      <c r="A55" s="26">
        <v>28.294</v>
      </c>
      <c r="B55" s="26">
        <v>13.0</v>
      </c>
      <c r="C55" s="27">
        <f t="shared" si="21"/>
        <v>26.25849873</v>
      </c>
      <c r="D55" s="28">
        <f t="shared" si="22"/>
        <v>13.709847</v>
      </c>
      <c r="E55" s="29">
        <f t="shared" si="23"/>
        <v>0.05060297685</v>
      </c>
      <c r="F55" s="30">
        <f t="array" ref="F55:G59">LINEST(D50:D78,E50:E78,TRUE,TRUE)</f>
        <v>-2.186739992</v>
      </c>
      <c r="G55" s="30">
        <v>14.331836128378036</v>
      </c>
      <c r="H55" s="26">
        <v>25.0</v>
      </c>
      <c r="I55" s="30">
        <f t="shared" si="24"/>
        <v>13.91776327</v>
      </c>
      <c r="J55" s="30">
        <f t="shared" si="25"/>
        <v>13.94127082</v>
      </c>
      <c r="K55" s="30">
        <f t="shared" ref="K55:L55" si="30">360/I55</f>
        <v>25.86622526</v>
      </c>
      <c r="L55" s="30">
        <f t="shared" si="30"/>
        <v>25.82261005</v>
      </c>
      <c r="M55" s="30"/>
      <c r="N55" s="30"/>
    </row>
    <row r="56">
      <c r="A56" s="26">
        <v>27.788</v>
      </c>
      <c r="B56" s="26">
        <v>8.0</v>
      </c>
      <c r="C56" s="27">
        <f t="shared" si="21"/>
        <v>25.82212288</v>
      </c>
      <c r="D56" s="28">
        <f t="shared" si="22"/>
        <v>13.94153384</v>
      </c>
      <c r="E56" s="29">
        <f t="shared" si="23"/>
        <v>0.01936915203</v>
      </c>
      <c r="F56" s="30">
        <v>0.7082461453036168</v>
      </c>
      <c r="G56" s="30">
        <v>0.07088259153833394</v>
      </c>
      <c r="H56" s="26">
        <v>30.0</v>
      </c>
      <c r="I56" s="30">
        <f t="shared" si="24"/>
        <v>13.725</v>
      </c>
      <c r="J56" s="30">
        <f t="shared" si="25"/>
        <v>13.78515113</v>
      </c>
      <c r="K56" s="30">
        <f t="shared" ref="K56:L56" si="31">360/I56</f>
        <v>26.2295082</v>
      </c>
      <c r="L56" s="30">
        <f t="shared" si="31"/>
        <v>26.11505645</v>
      </c>
      <c r="M56" s="30"/>
      <c r="N56" s="30"/>
    </row>
    <row r="57">
      <c r="A57" s="26">
        <v>28.602</v>
      </c>
      <c r="B57" s="26">
        <v>27.0</v>
      </c>
      <c r="C57" s="27">
        <f t="shared" si="21"/>
        <v>26.52356949</v>
      </c>
      <c r="D57" s="28">
        <f t="shared" si="22"/>
        <v>13.57283378</v>
      </c>
      <c r="E57" s="29">
        <f t="shared" si="23"/>
        <v>0.2061073739</v>
      </c>
      <c r="F57" s="32">
        <v>0.2609405024470641</v>
      </c>
      <c r="G57" s="32">
        <v>0.22857129412341656</v>
      </c>
      <c r="H57" s="26">
        <v>35.0</v>
      </c>
      <c r="I57" s="30">
        <f t="shared" si="24"/>
        <v>13.51172719</v>
      </c>
      <c r="J57" s="30">
        <f t="shared" si="25"/>
        <v>13.6124207</v>
      </c>
      <c r="K57" s="30">
        <f t="shared" ref="K57:L57" si="32">360/I57</f>
        <v>26.64352195</v>
      </c>
      <c r="L57" s="30">
        <f t="shared" si="32"/>
        <v>26.44643507</v>
      </c>
      <c r="M57" s="30"/>
      <c r="N57" s="30"/>
    </row>
    <row r="58">
      <c r="A58" s="26">
        <v>26.399</v>
      </c>
      <c r="B58" s="26">
        <v>5.0</v>
      </c>
      <c r="C58" s="27">
        <f t="shared" si="21"/>
        <v>24.61844563</v>
      </c>
      <c r="D58" s="28">
        <f t="shared" si="22"/>
        <v>14.62318155</v>
      </c>
      <c r="E58" s="29">
        <f t="shared" si="23"/>
        <v>0.007596123494</v>
      </c>
      <c r="F58" s="32">
        <v>9.532917971284304</v>
      </c>
      <c r="G58" s="32">
        <v>27.0</v>
      </c>
      <c r="H58" s="26">
        <v>40.0</v>
      </c>
      <c r="I58" s="30">
        <f t="shared" si="24"/>
        <v>13.28442504</v>
      </c>
      <c r="J58" s="30">
        <f t="shared" si="25"/>
        <v>13.42832784</v>
      </c>
      <c r="K58" s="30">
        <f t="shared" ref="K58:L58" si="33">360/I58</f>
        <v>27.09940392</v>
      </c>
      <c r="L58" s="30">
        <f t="shared" si="33"/>
        <v>26.80899694</v>
      </c>
      <c r="M58" s="30"/>
      <c r="N58" s="30"/>
    </row>
    <row r="59">
      <c r="A59" s="27">
        <v>26.688</v>
      </c>
      <c r="B59" s="26">
        <v>17.0</v>
      </c>
      <c r="C59" s="27">
        <f t="shared" si="21"/>
        <v>24.86959008</v>
      </c>
      <c r="D59" s="28">
        <f t="shared" si="22"/>
        <v>14.47551</v>
      </c>
      <c r="E59" s="29">
        <f t="shared" si="23"/>
        <v>0.08548121372</v>
      </c>
      <c r="F59" s="32">
        <v>0.4980457407514771</v>
      </c>
      <c r="G59" s="32">
        <v>1.410610585425842</v>
      </c>
      <c r="H59" s="26">
        <v>45.0</v>
      </c>
      <c r="I59" s="30">
        <f t="shared" si="24"/>
        <v>13.05</v>
      </c>
      <c r="J59" s="30">
        <f t="shared" si="25"/>
        <v>13.23846613</v>
      </c>
      <c r="K59" s="30">
        <f t="shared" ref="K59:L59" si="34">360/I59</f>
        <v>27.5862069</v>
      </c>
      <c r="L59" s="30">
        <f t="shared" si="34"/>
        <v>27.19348272</v>
      </c>
      <c r="M59" s="30"/>
      <c r="N59" s="30"/>
    </row>
    <row r="60">
      <c r="A60" s="26">
        <v>26.718</v>
      </c>
      <c r="B60" s="26">
        <v>17.0</v>
      </c>
      <c r="C60" s="27">
        <f t="shared" si="21"/>
        <v>24.89563921</v>
      </c>
      <c r="D60" s="28">
        <f t="shared" si="22"/>
        <v>14.4603638</v>
      </c>
      <c r="E60" s="29">
        <f t="shared" si="23"/>
        <v>0.08548121372</v>
      </c>
      <c r="F60" s="25"/>
      <c r="G60" s="25"/>
      <c r="H60" s="26">
        <v>50.0</v>
      </c>
      <c r="I60" s="30">
        <f t="shared" si="24"/>
        <v>12.81557496</v>
      </c>
      <c r="J60" s="30">
        <f t="shared" si="25"/>
        <v>13.04860443</v>
      </c>
      <c r="K60" s="30">
        <f t="shared" ref="K60:L60" si="35">360/I60</f>
        <v>28.09081927</v>
      </c>
      <c r="L60" s="30">
        <f t="shared" si="35"/>
        <v>27.5891573</v>
      </c>
      <c r="M60" s="30"/>
      <c r="N60" s="30"/>
    </row>
    <row r="61">
      <c r="A61" s="26">
        <v>27.728</v>
      </c>
      <c r="B61" s="26">
        <v>27.0</v>
      </c>
      <c r="C61" s="27">
        <f t="shared" si="21"/>
        <v>25.77030413</v>
      </c>
      <c r="D61" s="28">
        <f t="shared" si="22"/>
        <v>13.96956738</v>
      </c>
      <c r="E61" s="29">
        <f t="shared" si="23"/>
        <v>0.2061073739</v>
      </c>
      <c r="F61" s="25"/>
      <c r="G61" s="25"/>
      <c r="H61" s="26">
        <v>55.0</v>
      </c>
      <c r="I61" s="30">
        <f t="shared" si="24"/>
        <v>12.58827281</v>
      </c>
      <c r="J61" s="30">
        <f t="shared" si="25"/>
        <v>12.86451157</v>
      </c>
      <c r="K61" s="30">
        <f t="shared" ref="K61:L61" si="36">360/I61</f>
        <v>28.59804562</v>
      </c>
      <c r="L61" s="30">
        <f t="shared" si="36"/>
        <v>27.98396177</v>
      </c>
      <c r="M61" s="30"/>
      <c r="N61" s="30"/>
    </row>
    <row r="62">
      <c r="A62" s="26">
        <v>26.217</v>
      </c>
      <c r="B62" s="26">
        <v>5.0</v>
      </c>
      <c r="C62" s="27">
        <f t="shared" si="21"/>
        <v>24.46009504</v>
      </c>
      <c r="D62" s="28">
        <f t="shared" si="22"/>
        <v>14.7178496</v>
      </c>
      <c r="E62" s="29">
        <f t="shared" si="23"/>
        <v>0.007596123494</v>
      </c>
      <c r="F62" s="25"/>
      <c r="G62" s="25"/>
      <c r="H62" s="26">
        <v>60.0</v>
      </c>
      <c r="I62" s="30">
        <f t="shared" si="24"/>
        <v>12.375</v>
      </c>
      <c r="J62" s="30">
        <f t="shared" si="25"/>
        <v>12.69178113</v>
      </c>
      <c r="K62" s="30">
        <f t="shared" ref="K62:L62" si="37">360/I62</f>
        <v>29.09090909</v>
      </c>
      <c r="L62" s="30">
        <f t="shared" si="37"/>
        <v>28.36481312</v>
      </c>
      <c r="M62" s="30"/>
      <c r="N62" s="30"/>
    </row>
    <row r="63">
      <c r="A63" s="26">
        <v>27.273</v>
      </c>
      <c r="B63" s="26">
        <v>17.0</v>
      </c>
      <c r="C63" s="27">
        <f t="shared" si="21"/>
        <v>25.3768294</v>
      </c>
      <c r="D63" s="28">
        <f t="shared" si="22"/>
        <v>14.18616937</v>
      </c>
      <c r="E63" s="29">
        <f t="shared" si="23"/>
        <v>0.08548121372</v>
      </c>
      <c r="F63" s="25"/>
      <c r="G63" s="25"/>
      <c r="H63" s="26">
        <v>65.0</v>
      </c>
      <c r="I63" s="30">
        <f t="shared" si="24"/>
        <v>12.18223673</v>
      </c>
      <c r="J63" s="30">
        <f t="shared" si="25"/>
        <v>12.53566145</v>
      </c>
      <c r="K63" s="30">
        <f t="shared" ref="K63:L63" si="38">360/I63</f>
        <v>29.55122348</v>
      </c>
      <c r="L63" s="30">
        <f t="shared" si="38"/>
        <v>28.71806977</v>
      </c>
      <c r="M63" s="30"/>
      <c r="N63" s="30"/>
    </row>
    <row r="64">
      <c r="A64" s="26">
        <v>27.534</v>
      </c>
      <c r="B64" s="26">
        <v>25.0</v>
      </c>
      <c r="C64" s="27">
        <f t="shared" si="21"/>
        <v>25.60264843</v>
      </c>
      <c r="D64" s="28">
        <f t="shared" si="22"/>
        <v>14.06104532</v>
      </c>
      <c r="E64" s="29">
        <f t="shared" si="23"/>
        <v>0.1786061952</v>
      </c>
      <c r="F64" s="25"/>
      <c r="G64" s="25"/>
      <c r="H64" s="26">
        <v>70.0</v>
      </c>
      <c r="I64" s="30">
        <f t="shared" si="24"/>
        <v>12.01584</v>
      </c>
      <c r="J64" s="30">
        <f t="shared" si="25"/>
        <v>12.40089612</v>
      </c>
      <c r="K64" s="30">
        <f t="shared" ref="K64:L64" si="39">360/I64</f>
        <v>29.9604522</v>
      </c>
      <c r="L64" s="30">
        <f t="shared" si="39"/>
        <v>29.03016011</v>
      </c>
      <c r="M64" s="30"/>
      <c r="N64" s="30"/>
    </row>
    <row r="65">
      <c r="A65" s="26">
        <v>27.357</v>
      </c>
      <c r="B65" s="26">
        <v>18.0</v>
      </c>
      <c r="C65" s="27">
        <f t="shared" si="21"/>
        <v>25.44953958</v>
      </c>
      <c r="D65" s="28">
        <f t="shared" si="22"/>
        <v>14.14563902</v>
      </c>
      <c r="E65" s="29">
        <f t="shared" si="23"/>
        <v>0.09549150281</v>
      </c>
      <c r="F65" s="25"/>
      <c r="G65" s="25"/>
      <c r="H65" s="26">
        <v>75.0</v>
      </c>
      <c r="I65" s="30">
        <f t="shared" si="24"/>
        <v>11.8808657</v>
      </c>
      <c r="J65" s="30">
        <f t="shared" si="25"/>
        <v>12.29157994</v>
      </c>
      <c r="K65" s="30">
        <f t="shared" ref="K65:L65" si="40">360/I65</f>
        <v>30.30082226</v>
      </c>
      <c r="L65" s="30">
        <f t="shared" si="40"/>
        <v>29.28834224</v>
      </c>
      <c r="M65" s="30"/>
      <c r="N65" s="30"/>
    </row>
    <row r="66">
      <c r="A66" s="26">
        <v>27.894</v>
      </c>
      <c r="B66" s="26">
        <v>22.0</v>
      </c>
      <c r="C66" s="27">
        <f t="shared" si="21"/>
        <v>25.91363065</v>
      </c>
      <c r="D66" s="28">
        <f t="shared" si="22"/>
        <v>13.89230266</v>
      </c>
      <c r="E66" s="29">
        <f t="shared" si="23"/>
        <v>0.1403300998</v>
      </c>
      <c r="F66" s="25"/>
      <c r="G66" s="25"/>
      <c r="H66" s="26">
        <v>80.0</v>
      </c>
      <c r="I66" s="30">
        <f t="shared" si="24"/>
        <v>11.78141496</v>
      </c>
      <c r="J66" s="30">
        <f t="shared" si="25"/>
        <v>12.21103442</v>
      </c>
      <c r="K66" s="30">
        <f t="shared" ref="K66:L66" si="41">360/I66</f>
        <v>30.55660132</v>
      </c>
      <c r="L66" s="30">
        <f t="shared" si="41"/>
        <v>29.48153185</v>
      </c>
      <c r="M66" s="30"/>
      <c r="N66" s="30"/>
    </row>
    <row r="67">
      <c r="A67" s="26">
        <v>27.372</v>
      </c>
      <c r="B67" s="26">
        <v>18.0</v>
      </c>
      <c r="C67" s="27">
        <f t="shared" si="21"/>
        <v>25.46252026</v>
      </c>
      <c r="D67" s="28">
        <f t="shared" si="22"/>
        <v>14.13842763</v>
      </c>
      <c r="E67" s="29">
        <f t="shared" si="23"/>
        <v>0.09549150281</v>
      </c>
      <c r="F67" s="25"/>
      <c r="G67" s="25"/>
      <c r="H67" s="26">
        <v>85.0</v>
      </c>
      <c r="I67" s="30">
        <f t="shared" si="24"/>
        <v>11.72050953</v>
      </c>
      <c r="J67" s="30">
        <f t="shared" si="25"/>
        <v>12.16170688</v>
      </c>
      <c r="K67" s="30">
        <f t="shared" ref="K67:L67" si="42">360/I67</f>
        <v>30.71538818</v>
      </c>
      <c r="L67" s="30">
        <f t="shared" si="42"/>
        <v>29.60110809</v>
      </c>
      <c r="M67" s="30"/>
      <c r="N67" s="30"/>
    </row>
    <row r="68">
      <c r="A68" s="26">
        <v>26.891</v>
      </c>
      <c r="B68" s="26">
        <v>7.0</v>
      </c>
      <c r="C68" s="27">
        <f t="shared" si="21"/>
        <v>25.04577804</v>
      </c>
      <c r="D68" s="28">
        <f t="shared" si="22"/>
        <v>14.37368005</v>
      </c>
      <c r="E68" s="29">
        <f t="shared" si="23"/>
        <v>0.01485213686</v>
      </c>
      <c r="F68" s="25"/>
      <c r="G68" s="25"/>
      <c r="H68" s="26">
        <v>90.0</v>
      </c>
      <c r="I68" s="30">
        <f t="shared" si="24"/>
        <v>11.7</v>
      </c>
      <c r="J68" s="30">
        <f t="shared" si="25"/>
        <v>12.14509614</v>
      </c>
      <c r="K68" s="30">
        <f t="shared" ref="K68:L68" si="43">360/I68</f>
        <v>30.76923077</v>
      </c>
      <c r="L68" s="30">
        <f t="shared" si="43"/>
        <v>29.64159328</v>
      </c>
      <c r="M68" s="30"/>
      <c r="N68" s="30"/>
    </row>
    <row r="69">
      <c r="A69" s="26">
        <v>27.462</v>
      </c>
      <c r="B69" s="26">
        <v>17.0</v>
      </c>
      <c r="C69" s="27">
        <f t="shared" si="21"/>
        <v>25.54038353</v>
      </c>
      <c r="D69" s="28">
        <f t="shared" si="22"/>
        <v>14.09532475</v>
      </c>
      <c r="E69" s="29">
        <f t="shared" si="23"/>
        <v>0.08548121372</v>
      </c>
      <c r="F69" s="25"/>
      <c r="G69" s="25"/>
      <c r="H69" s="25"/>
      <c r="I69" s="25"/>
      <c r="J69" s="25"/>
      <c r="K69" s="25"/>
      <c r="L69" s="25"/>
      <c r="M69" s="25"/>
      <c r="N69" s="25"/>
    </row>
    <row r="70">
      <c r="A70" s="26">
        <v>27.277</v>
      </c>
      <c r="B70" s="26">
        <v>18.0</v>
      </c>
      <c r="C70" s="27">
        <f t="shared" si="21"/>
        <v>25.3802925</v>
      </c>
      <c r="D70" s="28">
        <f t="shared" si="22"/>
        <v>14.18423369</v>
      </c>
      <c r="E70" s="29">
        <f t="shared" si="23"/>
        <v>0.09549150281</v>
      </c>
      <c r="F70" s="25"/>
      <c r="G70" s="25"/>
      <c r="H70" s="25"/>
      <c r="I70" s="25"/>
      <c r="J70" s="25"/>
      <c r="K70" s="25"/>
      <c r="L70" s="25"/>
      <c r="M70" s="25"/>
      <c r="N70" s="25"/>
    </row>
    <row r="71">
      <c r="A71" s="26">
        <v>27.496</v>
      </c>
      <c r="B71" s="26">
        <v>17.0</v>
      </c>
      <c r="C71" s="27">
        <f t="shared" si="21"/>
        <v>25.56978925</v>
      </c>
      <c r="D71" s="28">
        <f t="shared" si="22"/>
        <v>14.07911487</v>
      </c>
      <c r="E71" s="29">
        <f t="shared" si="23"/>
        <v>0.08548121372</v>
      </c>
      <c r="F71" s="25"/>
      <c r="G71" s="25"/>
      <c r="H71" s="25"/>
      <c r="I71" s="25"/>
      <c r="J71" s="25"/>
      <c r="K71" s="25"/>
      <c r="L71" s="25"/>
      <c r="M71" s="25"/>
      <c r="N71" s="25"/>
    </row>
    <row r="72">
      <c r="A72" s="26">
        <v>27.066</v>
      </c>
      <c r="B72" s="26">
        <v>15.0</v>
      </c>
      <c r="C72" s="27">
        <f t="shared" si="21"/>
        <v>25.19751776</v>
      </c>
      <c r="D72" s="28">
        <f t="shared" si="22"/>
        <v>14.28712159</v>
      </c>
      <c r="E72" s="29">
        <f t="shared" si="23"/>
        <v>0.06698729811</v>
      </c>
      <c r="F72" s="25"/>
      <c r="G72" s="25"/>
      <c r="H72" s="25"/>
      <c r="I72" s="25"/>
      <c r="J72" s="25"/>
      <c r="K72" s="25"/>
      <c r="L72" s="25"/>
      <c r="M72" s="25"/>
      <c r="N72" s="25"/>
    </row>
    <row r="73">
      <c r="A73" s="26">
        <v>27.819</v>
      </c>
      <c r="B73" s="26">
        <v>22.0</v>
      </c>
      <c r="C73" s="27">
        <f t="shared" si="21"/>
        <v>25.84888969</v>
      </c>
      <c r="D73" s="28">
        <f t="shared" si="22"/>
        <v>13.92709723</v>
      </c>
      <c r="E73" s="29">
        <f t="shared" si="23"/>
        <v>0.1403300998</v>
      </c>
      <c r="F73" s="25"/>
      <c r="G73" s="25" t="s">
        <v>74</v>
      </c>
      <c r="H73" s="25"/>
      <c r="I73" s="25"/>
      <c r="J73" s="25"/>
      <c r="K73" s="25"/>
      <c r="L73" s="25"/>
      <c r="M73" s="25"/>
      <c r="N73" s="25"/>
    </row>
    <row r="74">
      <c r="A74" s="26">
        <v>27.648</v>
      </c>
      <c r="B74" s="26">
        <v>21.0</v>
      </c>
      <c r="C74" s="27">
        <f t="shared" si="21"/>
        <v>25.70118783</v>
      </c>
      <c r="D74" s="28">
        <f t="shared" si="22"/>
        <v>14.0071347</v>
      </c>
      <c r="E74" s="29">
        <f t="shared" si="23"/>
        <v>0.1284275873</v>
      </c>
      <c r="F74" s="25"/>
      <c r="G74" s="33" t="s">
        <v>75</v>
      </c>
      <c r="H74" s="25"/>
      <c r="I74" s="25"/>
      <c r="J74" s="25"/>
      <c r="K74" s="25"/>
      <c r="L74" s="25"/>
      <c r="M74" s="25"/>
      <c r="N74" s="25"/>
    </row>
    <row r="75">
      <c r="A75" s="26">
        <v>27.127</v>
      </c>
      <c r="B75" s="26">
        <v>10.0</v>
      </c>
      <c r="C75" s="27">
        <f t="shared" si="21"/>
        <v>25.25037807</v>
      </c>
      <c r="D75" s="28">
        <f t="shared" si="22"/>
        <v>14.25721227</v>
      </c>
      <c r="E75" s="29">
        <f t="shared" si="23"/>
        <v>0.03015368961</v>
      </c>
      <c r="F75" s="25"/>
      <c r="G75" s="25"/>
      <c r="H75" s="25"/>
      <c r="I75" s="25"/>
      <c r="J75" s="25"/>
      <c r="K75" s="25"/>
      <c r="L75" s="25"/>
      <c r="M75" s="25"/>
      <c r="N75" s="25"/>
    </row>
    <row r="76">
      <c r="A76" s="26">
        <v>26.952</v>
      </c>
      <c r="B76" s="26">
        <v>9.0</v>
      </c>
      <c r="C76" s="27">
        <f t="shared" si="21"/>
        <v>25.09868555</v>
      </c>
      <c r="D76" s="28">
        <f t="shared" si="22"/>
        <v>14.34338062</v>
      </c>
      <c r="E76" s="29">
        <f t="shared" si="23"/>
        <v>0.02447174185</v>
      </c>
      <c r="F76" s="25"/>
      <c r="G76" s="25"/>
      <c r="H76" s="25"/>
      <c r="I76" s="25"/>
      <c r="J76" s="25"/>
      <c r="K76" s="25"/>
      <c r="L76" s="25"/>
      <c r="M76" s="25"/>
      <c r="N76" s="25"/>
    </row>
    <row r="77">
      <c r="A77" s="26">
        <v>27.378</v>
      </c>
      <c r="B77" s="26">
        <v>26.0</v>
      </c>
      <c r="C77" s="27">
        <f t="shared" si="21"/>
        <v>25.46771226</v>
      </c>
      <c r="D77" s="28">
        <f t="shared" si="22"/>
        <v>14.13554529</v>
      </c>
      <c r="E77" s="29">
        <f t="shared" si="23"/>
        <v>0.1921692623</v>
      </c>
      <c r="F77" s="25"/>
      <c r="G77" s="25"/>
      <c r="H77" s="25"/>
      <c r="I77" s="25"/>
      <c r="J77" s="25"/>
      <c r="K77" s="25"/>
      <c r="L77" s="25"/>
      <c r="M77" s="25"/>
      <c r="N77" s="25"/>
    </row>
    <row r="78">
      <c r="A78" s="26">
        <v>26.722</v>
      </c>
      <c r="B78" s="26">
        <v>10.0</v>
      </c>
      <c r="C78" s="27">
        <f t="shared" si="21"/>
        <v>24.89911213</v>
      </c>
      <c r="D78" s="28">
        <f t="shared" si="22"/>
        <v>14.45834688</v>
      </c>
      <c r="E78" s="29">
        <f t="shared" si="23"/>
        <v>0.03015368961</v>
      </c>
      <c r="F78" s="25"/>
      <c r="G78" s="25"/>
      <c r="H78" s="25"/>
      <c r="I78" s="25"/>
      <c r="J78" s="25"/>
      <c r="K78" s="25"/>
      <c r="L78" s="25"/>
      <c r="M78" s="25"/>
      <c r="N78" s="25"/>
    </row>
  </sheetData>
  <mergeCells count="17">
    <mergeCell ref="A1:H1"/>
    <mergeCell ref="J1:Q1"/>
    <mergeCell ref="S1:Z1"/>
    <mergeCell ref="AB1:AI1"/>
    <mergeCell ref="J6:Q6"/>
    <mergeCell ref="S6:Z6"/>
    <mergeCell ref="AB6:AI6"/>
    <mergeCell ref="J18:Q18"/>
    <mergeCell ref="L33:O33"/>
    <mergeCell ref="A37:J37"/>
    <mergeCell ref="A6:H6"/>
    <mergeCell ref="A12:H12"/>
    <mergeCell ref="J12:Q12"/>
    <mergeCell ref="S12:Z12"/>
    <mergeCell ref="AB12:AI12"/>
    <mergeCell ref="A18:H18"/>
    <mergeCell ref="S18:Z1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76</v>
      </c>
      <c r="B1" s="6" t="s">
        <v>77</v>
      </c>
      <c r="C1" s="6" t="s">
        <v>78</v>
      </c>
      <c r="D1" s="6" t="s">
        <v>79</v>
      </c>
      <c r="E1" s="6" t="s">
        <v>80</v>
      </c>
      <c r="G1" s="6" t="s">
        <v>76</v>
      </c>
      <c r="H1" s="6" t="s">
        <v>77</v>
      </c>
      <c r="I1" s="6" t="s">
        <v>78</v>
      </c>
      <c r="J1" s="6" t="s">
        <v>79</v>
      </c>
      <c r="K1" s="6" t="s">
        <v>81</v>
      </c>
    </row>
    <row r="2">
      <c r="A2" s="6">
        <v>10.0</v>
      </c>
      <c r="B2" s="34">
        <v>1.0</v>
      </c>
      <c r="C2" s="35">
        <f t="shared" ref="C2:C16" si="1">360/A2</f>
        <v>36</v>
      </c>
      <c r="D2" s="8">
        <f t="shared" ref="D2:D16" si="2">(PI()*B2)/(SIN(RADIANS((A2*B2)/2)))</f>
        <v>36.04573324</v>
      </c>
      <c r="E2" s="8">
        <f t="shared" ref="E2:E16" si="3">((D2/C2)-1)*100</f>
        <v>0.1270367833</v>
      </c>
      <c r="G2" s="7">
        <v>7.0</v>
      </c>
      <c r="H2" s="7">
        <v>1.0</v>
      </c>
      <c r="I2" s="8">
        <f t="shared" ref="I2:I16" si="4">360/G2</f>
        <v>51.42857143</v>
      </c>
      <c r="J2" s="8">
        <f t="shared" ref="J2:J16" si="5">(PI()*H2)/(SIN(RADIANS((G2*H2)/2)))</f>
        <v>51.46057019</v>
      </c>
      <c r="K2" s="8">
        <f t="shared" ref="K2:K16" si="6">((J2/I2)-1)*100</f>
        <v>0.06221980941</v>
      </c>
    </row>
    <row r="3">
      <c r="A3" s="6">
        <v>12.0</v>
      </c>
      <c r="B3" s="34">
        <v>1.0</v>
      </c>
      <c r="C3" s="35">
        <f t="shared" si="1"/>
        <v>30</v>
      </c>
      <c r="D3" s="8">
        <f t="shared" si="2"/>
        <v>30.05490137</v>
      </c>
      <c r="E3" s="8">
        <f t="shared" si="3"/>
        <v>0.1830045578</v>
      </c>
      <c r="G3" s="7">
        <v>8.0</v>
      </c>
      <c r="H3" s="7">
        <v>1.0</v>
      </c>
      <c r="I3" s="8">
        <f t="shared" si="4"/>
        <v>45</v>
      </c>
      <c r="J3" s="8">
        <f t="shared" si="5"/>
        <v>45.03657489</v>
      </c>
      <c r="K3" s="8">
        <f t="shared" si="6"/>
        <v>0.08127752537</v>
      </c>
    </row>
    <row r="4">
      <c r="A4" s="6">
        <v>15.0</v>
      </c>
      <c r="B4" s="34">
        <v>1.0</v>
      </c>
      <c r="C4" s="35">
        <f t="shared" si="1"/>
        <v>24</v>
      </c>
      <c r="D4" s="8">
        <f t="shared" si="2"/>
        <v>24.06867618</v>
      </c>
      <c r="E4" s="8">
        <f t="shared" si="3"/>
        <v>0.2861507512</v>
      </c>
      <c r="G4" s="7">
        <v>9.0</v>
      </c>
      <c r="H4" s="7">
        <v>1.0</v>
      </c>
      <c r="I4" s="8">
        <f t="shared" si="4"/>
        <v>40</v>
      </c>
      <c r="J4" s="8">
        <f t="shared" si="5"/>
        <v>40.04115297</v>
      </c>
      <c r="K4" s="8">
        <f t="shared" si="6"/>
        <v>0.1028824143</v>
      </c>
    </row>
    <row r="5">
      <c r="A5" s="6">
        <v>17.0</v>
      </c>
      <c r="B5" s="34">
        <v>1.0</v>
      </c>
      <c r="C5" s="35">
        <f t="shared" si="1"/>
        <v>21.17647059</v>
      </c>
      <c r="D5" s="8">
        <f t="shared" si="2"/>
        <v>21.25434794</v>
      </c>
      <c r="E5" s="8">
        <f t="shared" si="3"/>
        <v>0.3677541814</v>
      </c>
      <c r="G5" s="7">
        <v>10.0</v>
      </c>
      <c r="H5" s="7">
        <v>1.0</v>
      </c>
      <c r="I5" s="8">
        <f t="shared" si="4"/>
        <v>36</v>
      </c>
      <c r="J5" s="8">
        <f t="shared" si="5"/>
        <v>36.04573324</v>
      </c>
      <c r="K5" s="8">
        <f t="shared" si="6"/>
        <v>0.1270367833</v>
      </c>
    </row>
    <row r="6">
      <c r="A6" s="6">
        <v>20.0</v>
      </c>
      <c r="B6" s="34">
        <v>1.0</v>
      </c>
      <c r="C6" s="35">
        <f t="shared" si="1"/>
        <v>18</v>
      </c>
      <c r="D6" s="8">
        <f t="shared" si="2"/>
        <v>18.09171104</v>
      </c>
      <c r="E6" s="8">
        <f t="shared" si="3"/>
        <v>0.5095057975</v>
      </c>
      <c r="G6" s="7">
        <v>11.0</v>
      </c>
      <c r="H6" s="7">
        <v>1.0</v>
      </c>
      <c r="I6" s="8">
        <f t="shared" si="4"/>
        <v>32.72727273</v>
      </c>
      <c r="J6" s="8">
        <f t="shared" si="5"/>
        <v>32.77758869</v>
      </c>
      <c r="K6" s="8">
        <f t="shared" si="6"/>
        <v>0.153743213</v>
      </c>
    </row>
    <row r="7">
      <c r="A7" s="6">
        <v>10.0</v>
      </c>
      <c r="B7" s="34">
        <v>0.5</v>
      </c>
      <c r="C7" s="35">
        <f t="shared" si="1"/>
        <v>36</v>
      </c>
      <c r="D7" s="8">
        <f t="shared" si="2"/>
        <v>36.01142569</v>
      </c>
      <c r="E7" s="8">
        <f t="shared" si="3"/>
        <v>0.03173803063</v>
      </c>
      <c r="G7" s="7">
        <v>12.0</v>
      </c>
      <c r="H7" s="7">
        <v>1.0</v>
      </c>
      <c r="I7" s="8">
        <f t="shared" si="4"/>
        <v>30</v>
      </c>
      <c r="J7" s="8">
        <f t="shared" si="5"/>
        <v>30.05490137</v>
      </c>
      <c r="K7" s="8">
        <f t="shared" si="6"/>
        <v>0.1830045578</v>
      </c>
    </row>
    <row r="8">
      <c r="A8" s="6">
        <v>12.0</v>
      </c>
      <c r="B8" s="34">
        <v>0.5</v>
      </c>
      <c r="C8" s="35">
        <f t="shared" si="1"/>
        <v>30</v>
      </c>
      <c r="D8" s="8">
        <f t="shared" si="2"/>
        <v>30.01371217</v>
      </c>
      <c r="E8" s="8">
        <f t="shared" si="3"/>
        <v>0.0457072319</v>
      </c>
      <c r="G8" s="7">
        <v>13.0</v>
      </c>
      <c r="H8" s="7">
        <v>1.0</v>
      </c>
      <c r="I8" s="8">
        <f t="shared" si="4"/>
        <v>27.69230769</v>
      </c>
      <c r="J8" s="8">
        <f t="shared" si="5"/>
        <v>27.7517974</v>
      </c>
      <c r="K8" s="8">
        <f t="shared" si="6"/>
        <v>0.2148239468</v>
      </c>
    </row>
    <row r="9">
      <c r="A9" s="6">
        <v>15.0</v>
      </c>
      <c r="B9" s="34">
        <v>0.5</v>
      </c>
      <c r="C9" s="35">
        <f t="shared" si="1"/>
        <v>24</v>
      </c>
      <c r="D9" s="8">
        <f t="shared" si="2"/>
        <v>24.0171433</v>
      </c>
      <c r="E9" s="8">
        <f t="shared" si="3"/>
        <v>0.07143040432</v>
      </c>
      <c r="G9" s="7">
        <v>14.0</v>
      </c>
      <c r="H9" s="7">
        <v>1.0</v>
      </c>
      <c r="I9" s="8">
        <f t="shared" si="4"/>
        <v>25.71428571</v>
      </c>
      <c r="J9" s="8">
        <f t="shared" si="5"/>
        <v>25.77836694</v>
      </c>
      <c r="K9" s="8">
        <f t="shared" si="6"/>
        <v>0.2492047844</v>
      </c>
    </row>
    <row r="10">
      <c r="A10" s="6">
        <v>17.0</v>
      </c>
      <c r="B10" s="34">
        <v>0.5</v>
      </c>
      <c r="C10" s="35">
        <f t="shared" si="1"/>
        <v>21.17647059</v>
      </c>
      <c r="D10" s="8">
        <f t="shared" si="2"/>
        <v>21.19590242</v>
      </c>
      <c r="E10" s="8">
        <f t="shared" si="3"/>
        <v>0.0917614354</v>
      </c>
      <c r="G10" s="7">
        <v>15.0</v>
      </c>
      <c r="H10" s="7">
        <v>1.0</v>
      </c>
      <c r="I10" s="8">
        <f t="shared" si="4"/>
        <v>24</v>
      </c>
      <c r="J10" s="8">
        <f t="shared" si="5"/>
        <v>24.06867618</v>
      </c>
      <c r="K10" s="8">
        <f t="shared" si="6"/>
        <v>0.2861507512</v>
      </c>
    </row>
    <row r="11">
      <c r="A11" s="6">
        <v>20.0</v>
      </c>
      <c r="B11" s="34">
        <v>0.5</v>
      </c>
      <c r="C11" s="35">
        <f t="shared" si="1"/>
        <v>18</v>
      </c>
      <c r="D11" s="8">
        <f t="shared" si="2"/>
        <v>18.02286662</v>
      </c>
      <c r="E11" s="8">
        <f t="shared" si="3"/>
        <v>0.1270367833</v>
      </c>
      <c r="G11" s="7">
        <v>16.0</v>
      </c>
      <c r="H11" s="7">
        <v>1.0</v>
      </c>
      <c r="I11" s="8">
        <f t="shared" si="4"/>
        <v>22.5</v>
      </c>
      <c r="J11" s="8">
        <f t="shared" si="5"/>
        <v>22.57327481</v>
      </c>
      <c r="K11" s="8">
        <f t="shared" si="6"/>
        <v>0.3256658049</v>
      </c>
    </row>
    <row r="12">
      <c r="A12" s="6">
        <v>10.0</v>
      </c>
      <c r="B12" s="34">
        <v>1.5</v>
      </c>
      <c r="C12" s="35">
        <f t="shared" si="1"/>
        <v>36</v>
      </c>
      <c r="D12" s="8">
        <f t="shared" si="2"/>
        <v>36.10301427</v>
      </c>
      <c r="E12" s="8">
        <f t="shared" si="3"/>
        <v>0.2861507512</v>
      </c>
      <c r="G12" s="7">
        <v>17.0</v>
      </c>
      <c r="H12" s="7">
        <v>1.0</v>
      </c>
      <c r="I12" s="8">
        <f t="shared" si="4"/>
        <v>21.17647059</v>
      </c>
      <c r="J12" s="8">
        <f t="shared" si="5"/>
        <v>21.25434794</v>
      </c>
      <c r="K12" s="8">
        <f t="shared" si="6"/>
        <v>0.3677541814</v>
      </c>
    </row>
    <row r="13">
      <c r="A13" s="6">
        <v>12.0</v>
      </c>
      <c r="B13" s="34">
        <v>1.5</v>
      </c>
      <c r="C13" s="35">
        <f t="shared" si="1"/>
        <v>30</v>
      </c>
      <c r="D13" s="8">
        <f t="shared" si="2"/>
        <v>30.12372612</v>
      </c>
      <c r="E13" s="8">
        <f t="shared" si="3"/>
        <v>0.4124203954</v>
      </c>
      <c r="G13" s="7">
        <v>18.0</v>
      </c>
      <c r="H13" s="7">
        <v>1.0</v>
      </c>
      <c r="I13" s="8">
        <f t="shared" si="4"/>
        <v>20</v>
      </c>
      <c r="J13" s="8">
        <f t="shared" si="5"/>
        <v>20.08248408</v>
      </c>
      <c r="K13" s="8">
        <f t="shared" si="6"/>
        <v>0.4124203954</v>
      </c>
    </row>
    <row r="14">
      <c r="A14" s="6">
        <v>15.0</v>
      </c>
      <c r="B14" s="34">
        <v>1.5</v>
      </c>
      <c r="C14" s="35">
        <f t="shared" si="1"/>
        <v>24</v>
      </c>
      <c r="D14" s="8">
        <f t="shared" si="2"/>
        <v>24.15490903</v>
      </c>
      <c r="E14" s="8">
        <f t="shared" si="3"/>
        <v>0.64545428</v>
      </c>
      <c r="G14" s="7">
        <v>19.0</v>
      </c>
      <c r="H14" s="7">
        <v>1.0</v>
      </c>
      <c r="I14" s="8">
        <f t="shared" si="4"/>
        <v>18.94736842</v>
      </c>
      <c r="J14" s="8">
        <f t="shared" si="5"/>
        <v>19.03446365</v>
      </c>
      <c r="K14" s="8">
        <f t="shared" si="6"/>
        <v>0.459669242</v>
      </c>
    </row>
    <row r="15">
      <c r="A15" s="6">
        <v>17.0</v>
      </c>
      <c r="B15" s="34">
        <v>1.5</v>
      </c>
      <c r="C15" s="35">
        <f t="shared" si="1"/>
        <v>21.17647059</v>
      </c>
      <c r="D15" s="8">
        <f t="shared" si="2"/>
        <v>21.35225985</v>
      </c>
      <c r="E15" s="8">
        <f t="shared" si="3"/>
        <v>0.8301159493</v>
      </c>
      <c r="G15" s="7">
        <v>20.0</v>
      </c>
      <c r="H15" s="7">
        <v>1.0</v>
      </c>
      <c r="I15" s="8">
        <f t="shared" si="4"/>
        <v>18</v>
      </c>
      <c r="J15" s="8">
        <f t="shared" si="5"/>
        <v>18.09171104</v>
      </c>
      <c r="K15" s="8">
        <f t="shared" si="6"/>
        <v>0.5095057975</v>
      </c>
    </row>
    <row r="16">
      <c r="A16" s="6">
        <v>20.0</v>
      </c>
      <c r="B16" s="34">
        <v>1.5</v>
      </c>
      <c r="C16" s="35">
        <f t="shared" si="1"/>
        <v>18</v>
      </c>
      <c r="D16" s="8">
        <f t="shared" si="2"/>
        <v>18.20727288</v>
      </c>
      <c r="E16" s="8">
        <f t="shared" si="3"/>
        <v>1.151515993</v>
      </c>
      <c r="G16" s="7">
        <v>21.0</v>
      </c>
      <c r="H16" s="7">
        <v>1.0</v>
      </c>
      <c r="I16" s="8">
        <f t="shared" si="4"/>
        <v>17.14285714</v>
      </c>
      <c r="J16" s="8">
        <f t="shared" si="5"/>
        <v>17.23918893</v>
      </c>
      <c r="K16" s="8">
        <f t="shared" si="6"/>
        <v>0.5619354209</v>
      </c>
    </row>
    <row r="19">
      <c r="A19" s="12" t="s">
        <v>82</v>
      </c>
      <c r="G19" s="6" t="s">
        <v>76</v>
      </c>
      <c r="H19" s="6" t="s">
        <v>77</v>
      </c>
      <c r="I19" s="6" t="s">
        <v>78</v>
      </c>
      <c r="J19" s="6" t="s">
        <v>79</v>
      </c>
      <c r="K19" s="6" t="s">
        <v>81</v>
      </c>
    </row>
    <row r="20">
      <c r="A20" s="9" t="s">
        <v>83</v>
      </c>
      <c r="B20" s="9" t="s">
        <v>84</v>
      </c>
      <c r="C20" s="9" t="s">
        <v>85</v>
      </c>
      <c r="D20" s="9" t="s">
        <v>86</v>
      </c>
      <c r="E20" s="9" t="s">
        <v>81</v>
      </c>
      <c r="G20" s="7">
        <v>15.0</v>
      </c>
      <c r="H20" s="7">
        <v>0.5</v>
      </c>
      <c r="I20" s="8">
        <f t="shared" ref="I20:I34" si="7">360/G20</f>
        <v>24</v>
      </c>
      <c r="J20" s="8">
        <f t="shared" ref="J20:J34" si="8">(PI()*H20)/(SIN(RADIANS((G20*H20)/2)))</f>
        <v>24.0171433</v>
      </c>
      <c r="K20" s="8">
        <f t="shared" ref="K20:K34" si="9">((J20/I20)-1)*100</f>
        <v>0.07143040432</v>
      </c>
    </row>
    <row r="21">
      <c r="A21" s="36">
        <v>15.0</v>
      </c>
      <c r="B21" s="36">
        <v>3.0</v>
      </c>
      <c r="C21" s="37">
        <f t="shared" ref="C21:C28" si="10">360/A21</f>
        <v>24</v>
      </c>
      <c r="D21" s="37">
        <f t="shared" ref="D21:D28" si="11">(PI()*B21)/(SIN(RADIANS((A21*B21)/2)))</f>
        <v>24.62813167</v>
      </c>
      <c r="E21" s="37">
        <f t="shared" ref="E21:E28" si="12">((D21/C21)-1)*100</f>
        <v>2.617215298</v>
      </c>
      <c r="G21" s="7">
        <v>15.0</v>
      </c>
      <c r="H21" s="7">
        <v>0.6</v>
      </c>
      <c r="I21" s="8">
        <f t="shared" si="7"/>
        <v>24</v>
      </c>
      <c r="J21" s="8">
        <f t="shared" si="8"/>
        <v>24.02469178</v>
      </c>
      <c r="K21" s="8">
        <f t="shared" si="9"/>
        <v>0.1028824143</v>
      </c>
    </row>
    <row r="22">
      <c r="A22" s="36">
        <v>15.0</v>
      </c>
      <c r="B22" s="36">
        <v>5.0</v>
      </c>
      <c r="C22" s="37">
        <f t="shared" si="10"/>
        <v>24</v>
      </c>
      <c r="D22" s="37">
        <f t="shared" si="11"/>
        <v>25.80315132</v>
      </c>
      <c r="E22" s="37">
        <f t="shared" si="12"/>
        <v>7.513130483</v>
      </c>
      <c r="G22" s="7">
        <v>15.0</v>
      </c>
      <c r="H22" s="7">
        <v>0.7</v>
      </c>
      <c r="I22" s="8">
        <f t="shared" si="7"/>
        <v>24</v>
      </c>
      <c r="J22" s="8">
        <f t="shared" si="8"/>
        <v>24.033617</v>
      </c>
      <c r="K22" s="8">
        <f t="shared" si="9"/>
        <v>0.1400708186</v>
      </c>
    </row>
    <row r="23">
      <c r="A23" s="36">
        <v>15.0</v>
      </c>
      <c r="B23" s="36">
        <v>8.0</v>
      </c>
      <c r="C23" s="37">
        <f t="shared" si="10"/>
        <v>24</v>
      </c>
      <c r="D23" s="37">
        <f t="shared" si="11"/>
        <v>29.02078983</v>
      </c>
      <c r="E23" s="37">
        <f t="shared" si="12"/>
        <v>20.91995762</v>
      </c>
      <c r="G23" s="7">
        <v>15.0</v>
      </c>
      <c r="H23" s="7">
        <v>0.8</v>
      </c>
      <c r="I23" s="8">
        <f t="shared" si="7"/>
        <v>24</v>
      </c>
      <c r="J23" s="8">
        <f t="shared" si="8"/>
        <v>24.04392109</v>
      </c>
      <c r="K23" s="8">
        <f t="shared" si="9"/>
        <v>0.1830045578</v>
      </c>
    </row>
    <row r="24">
      <c r="A24" s="36">
        <v>15.0</v>
      </c>
      <c r="B24" s="36">
        <v>10.0</v>
      </c>
      <c r="C24" s="37">
        <f t="shared" si="10"/>
        <v>24</v>
      </c>
      <c r="D24" s="37">
        <f t="shared" si="11"/>
        <v>32.52416043</v>
      </c>
      <c r="E24" s="37">
        <f t="shared" si="12"/>
        <v>35.51733512</v>
      </c>
      <c r="G24" s="7">
        <v>15.0</v>
      </c>
      <c r="H24" s="7">
        <v>0.9</v>
      </c>
      <c r="I24" s="8">
        <f t="shared" si="7"/>
        <v>24</v>
      </c>
      <c r="J24" s="8">
        <f t="shared" si="8"/>
        <v>24.05560655</v>
      </c>
      <c r="K24" s="8">
        <f t="shared" si="9"/>
        <v>0.231693961</v>
      </c>
    </row>
    <row r="25">
      <c r="A25" s="36">
        <v>15.0</v>
      </c>
      <c r="B25" s="36">
        <v>0.2</v>
      </c>
      <c r="C25" s="37">
        <f t="shared" si="10"/>
        <v>24</v>
      </c>
      <c r="D25" s="37">
        <f t="shared" si="11"/>
        <v>24.00274178</v>
      </c>
      <c r="E25" s="37">
        <f t="shared" si="12"/>
        <v>0.01142406673</v>
      </c>
      <c r="G25" s="7">
        <v>15.0</v>
      </c>
      <c r="H25" s="7">
        <v>1.0</v>
      </c>
      <c r="I25" s="8">
        <f t="shared" si="7"/>
        <v>24</v>
      </c>
      <c r="J25" s="8">
        <f t="shared" si="8"/>
        <v>24.06867618</v>
      </c>
      <c r="K25" s="8">
        <f t="shared" si="9"/>
        <v>0.2861507512</v>
      </c>
    </row>
    <row r="26">
      <c r="A26" s="36">
        <v>15.0</v>
      </c>
      <c r="B26" s="36">
        <v>0.1</v>
      </c>
      <c r="C26" s="37">
        <f t="shared" si="10"/>
        <v>24</v>
      </c>
      <c r="D26" s="37">
        <f t="shared" si="11"/>
        <v>24.0006854</v>
      </c>
      <c r="E26" s="37">
        <f t="shared" si="12"/>
        <v>0.0028558454</v>
      </c>
      <c r="G26" s="7">
        <v>15.0</v>
      </c>
      <c r="H26" s="7">
        <v>1.1</v>
      </c>
      <c r="I26" s="8">
        <f t="shared" si="7"/>
        <v>24</v>
      </c>
      <c r="J26" s="8">
        <f t="shared" si="8"/>
        <v>24.08313313</v>
      </c>
      <c r="K26" s="8">
        <f t="shared" si="9"/>
        <v>0.3463880522</v>
      </c>
    </row>
    <row r="27">
      <c r="A27" s="36">
        <v>15.0</v>
      </c>
      <c r="B27" s="37">
        <f>1/24</f>
        <v>0.04166666667</v>
      </c>
      <c r="C27" s="37">
        <f t="shared" si="10"/>
        <v>24</v>
      </c>
      <c r="D27" s="37">
        <f t="shared" si="11"/>
        <v>24.00011899</v>
      </c>
      <c r="E27" s="37">
        <f t="shared" si="12"/>
        <v>0.0004957983024</v>
      </c>
      <c r="G27" s="7">
        <v>15.0</v>
      </c>
      <c r="H27" s="7">
        <v>1.2</v>
      </c>
      <c r="I27" s="8">
        <f t="shared" si="7"/>
        <v>24</v>
      </c>
      <c r="J27" s="8">
        <f t="shared" si="8"/>
        <v>24.09898089</v>
      </c>
      <c r="K27" s="8">
        <f t="shared" si="9"/>
        <v>0.4124203954</v>
      </c>
    </row>
    <row r="28">
      <c r="A28" s="36">
        <v>14.4</v>
      </c>
      <c r="B28" s="36">
        <v>1.0</v>
      </c>
      <c r="C28" s="37">
        <f t="shared" si="10"/>
        <v>25</v>
      </c>
      <c r="D28" s="37">
        <f t="shared" si="11"/>
        <v>25.06591879</v>
      </c>
      <c r="E28" s="37">
        <f t="shared" si="12"/>
        <v>0.2636751402</v>
      </c>
      <c r="G28" s="7">
        <v>15.0</v>
      </c>
      <c r="H28" s="7">
        <v>1.3</v>
      </c>
      <c r="I28" s="8">
        <f t="shared" si="7"/>
        <v>24</v>
      </c>
      <c r="J28" s="8">
        <f t="shared" si="8"/>
        <v>24.11622329</v>
      </c>
      <c r="K28" s="8">
        <f t="shared" si="9"/>
        <v>0.4842637278</v>
      </c>
    </row>
    <row r="29">
      <c r="G29" s="7">
        <v>15.0</v>
      </c>
      <c r="H29" s="7">
        <v>1.4</v>
      </c>
      <c r="I29" s="8">
        <f t="shared" si="7"/>
        <v>24</v>
      </c>
      <c r="J29" s="8">
        <f t="shared" si="8"/>
        <v>24.1348645</v>
      </c>
      <c r="K29" s="8">
        <f t="shared" si="9"/>
        <v>0.5619354209</v>
      </c>
    </row>
    <row r="30">
      <c r="G30" s="7">
        <v>15.0</v>
      </c>
      <c r="H30" s="7">
        <v>1.5</v>
      </c>
      <c r="I30" s="8">
        <f t="shared" si="7"/>
        <v>24</v>
      </c>
      <c r="J30" s="8">
        <f t="shared" si="8"/>
        <v>24.15490903</v>
      </c>
      <c r="K30" s="8">
        <f t="shared" si="9"/>
        <v>0.64545428</v>
      </c>
    </row>
    <row r="31">
      <c r="G31" s="7">
        <v>15.0</v>
      </c>
      <c r="H31" s="7">
        <v>1.6</v>
      </c>
      <c r="I31" s="8">
        <f t="shared" si="7"/>
        <v>24</v>
      </c>
      <c r="J31" s="8">
        <f t="shared" si="8"/>
        <v>24.17636173</v>
      </c>
      <c r="K31" s="8">
        <f t="shared" si="9"/>
        <v>0.7348405544</v>
      </c>
    </row>
    <row r="32">
      <c r="G32" s="7">
        <v>15.0</v>
      </c>
      <c r="H32" s="7">
        <v>1.7</v>
      </c>
      <c r="I32" s="8">
        <f t="shared" si="7"/>
        <v>24</v>
      </c>
      <c r="J32" s="8">
        <f t="shared" si="8"/>
        <v>24.19922783</v>
      </c>
      <c r="K32" s="8">
        <f t="shared" si="9"/>
        <v>0.8301159493</v>
      </c>
    </row>
    <row r="33">
      <c r="G33" s="7">
        <v>15.0</v>
      </c>
      <c r="H33" s="7">
        <v>1.8</v>
      </c>
      <c r="I33" s="8">
        <f t="shared" si="7"/>
        <v>24</v>
      </c>
      <c r="J33" s="8">
        <f t="shared" si="8"/>
        <v>24.22351287</v>
      </c>
      <c r="K33" s="8">
        <f t="shared" si="9"/>
        <v>0.9313036367</v>
      </c>
    </row>
    <row r="34">
      <c r="G34" s="7">
        <v>15.0</v>
      </c>
      <c r="H34" s="7">
        <v>1.9</v>
      </c>
      <c r="I34" s="8">
        <f t="shared" si="7"/>
        <v>24</v>
      </c>
      <c r="J34" s="8">
        <f t="shared" si="8"/>
        <v>24.24922278</v>
      </c>
      <c r="K34" s="8">
        <f t="shared" si="9"/>
        <v>1.038428269</v>
      </c>
    </row>
  </sheetData>
  <mergeCells count="1">
    <mergeCell ref="A19:E19"/>
  </mergeCells>
  <drawing r:id="rId1"/>
</worksheet>
</file>